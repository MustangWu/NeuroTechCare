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filterPrivacy="1"/>
  <xr:revisionPtr revIDLastSave="0" documentId="13_ncr:1_{5DACE4A1-7E2C-3241-9AA3-0F509F7CE446}" xr6:coauthVersionLast="47" xr6:coauthVersionMax="47" xr10:uidLastSave="{00000000-0000-0000-0000-000000000000}"/>
  <bookViews>
    <workbookView xWindow="0" yWindow="600" windowWidth="27040" windowHeight="16960" xr2:uid="{00000000-000D-0000-FFFF-FFFF00000000}"/>
  </bookViews>
  <sheets>
    <sheet name="Contents" sheetId="14" r:id="rId1"/>
    <sheet name="S3.1" sheetId="17" r:id="rId2"/>
    <sheet name="S3.2" sheetId="2" r:id="rId3"/>
    <sheet name="S3.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4" l="1"/>
  <c r="B10" i="14"/>
  <c r="B9" i="14"/>
</calcChain>
</file>

<file path=xl/sharedStrings.xml><?xml version="1.0" encoding="utf-8"?>
<sst xmlns="http://schemas.openxmlformats.org/spreadsheetml/2006/main" count="93" uniqueCount="52">
  <si>
    <t>95+</t>
  </si>
  <si>
    <t>Persons</t>
  </si>
  <si>
    <t>Cause of death</t>
  </si>
  <si>
    <t>Number of deaths</t>
  </si>
  <si>
    <t>Women</t>
  </si>
  <si>
    <t>Men</t>
  </si>
  <si>
    <t>0–59</t>
  </si>
  <si>
    <t>60–64</t>
  </si>
  <si>
    <t>65–69</t>
  </si>
  <si>
    <t>70–74</t>
  </si>
  <si>
    <t>75–79</t>
  </si>
  <si>
    <t>80–84</t>
  </si>
  <si>
    <t>85–89</t>
  </si>
  <si>
    <t>90–94</t>
  </si>
  <si>
    <t>Year</t>
  </si>
  <si>
    <t>Notes</t>
  </si>
  <si>
    <t>Symbols</t>
  </si>
  <si>
    <t>n.p.</t>
  </si>
  <si>
    <t>Not published</t>
  </si>
  <si>
    <t>Sources</t>
  </si>
  <si>
    <t>Suggested Citation</t>
  </si>
  <si>
    <t>National Mortality Database</t>
  </si>
  <si>
    <t>2. This analysis is only based on the underlying cause of death and not on associated causes of death.</t>
  </si>
  <si>
    <t>Contents</t>
  </si>
  <si>
    <t xml:space="preserve">Cause of Death Unit Record File data are provided to the AIHW by the Registrars of Births, Deaths and Marriages and the National Coronial Information System (managed by the Victorian Department of Justice) and include cause of death coded by the Australian Bureau of Statistics (ABS). The data are maintained by the AIHW in the National Mortality Database. For more information about Australian mortality data, including scope and coverage of the collection and a quality declaration, please refer to Deaths, Australia (ABS cat. no. 3302.0) and Causes of death, Australia (ABS cat. no. 3303.0) available from the ABS website. </t>
  </si>
  <si>
    <r>
      <t>Causes of death are coded by the ABS to the International Statistical Classification of Diseases and Related Health Problems, 10</t>
    </r>
    <r>
      <rPr>
        <vertAlign val="superscript"/>
        <sz val="11"/>
        <color theme="1"/>
        <rFont val="Calibri"/>
        <family val="2"/>
      </rPr>
      <t>th</t>
    </r>
    <r>
      <rPr>
        <sz val="11"/>
        <color theme="1"/>
        <rFont val="Calibri"/>
        <family val="2"/>
      </rPr>
      <t xml:space="preserve"> revision (ICD).</t>
    </r>
  </si>
  <si>
    <t>Age (years)</t>
  </si>
  <si>
    <t>Crude rate 
(per 100,000 people)</t>
  </si>
  <si>
    <t>Age-standardised rate 
(per 100,000 people)</t>
  </si>
  <si>
    <r>
      <t xml:space="preserve">Refer to </t>
    </r>
    <r>
      <rPr>
        <sz val="11"/>
        <rFont val="Calibri"/>
        <family val="2"/>
        <scheme val="minor"/>
      </rPr>
      <t xml:space="preserve">Technical notes for further information on the data source, coding, classifications and methodology for this analysis. </t>
    </r>
  </si>
  <si>
    <t>Dementia in Australia, deaths due to dementia – data tables</t>
  </si>
  <si>
    <t>Geography is based on area of usual residence – Statistical Local Area Level 2 (SA2). Unknown/missing includes deaths where place of usual residence was overseas, no fixed abode, offshore and migratory, and undefined. Socioeconomic areas are based on population-based quintiles according to the Socio-Economic Indexes for Areas (SEIFA) 2021 Index of Relative Socio-Economic Disadvantage (IRSD), and correspondence files are sourced from Census of Population and Housing: Socio-Economic Indexes for Areas (SEIFA), Australia, 2021 (ABS 2021). Remoteness areas are classified according to Remoteness Areas 2021, and correspondence files are sourced from the Australian Statistical Geography Standard (ASGS) Edition 3: Remoteness Structure (ABS 2021).</t>
  </si>
  <si>
    <t>Australian Institute of Health and Welfare 2025. Dementia in Australia Cat no. DEM 2 Canberra: AIHW.</t>
  </si>
  <si>
    <t>Table S3.1: Leading causes of death in Australia in 2023, by sex: number and crude rate</t>
  </si>
  <si>
    <t>Deaths are counted according to year of death registration.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 (ABS).</t>
  </si>
  <si>
    <t>Table S3.3: Deaths due to dementia in Australia over the period 2009 to 2023: number, age-standardised and crude rates by sex</t>
  </si>
  <si>
    <t>© Australian Institute of Health and Welfare 2025</t>
  </si>
  <si>
    <t>Back to contents page</t>
  </si>
  <si>
    <t>3. Deaths are counted according to year of death registration.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 (ABS).</t>
  </si>
  <si>
    <t>1. Age-standardised rates due to dementia over the 2009–2023 period have been directly age-standardised to the 2001 Australian Standard Population by 5-year age group up to age 95+ and are expressed per 100,000 population.</t>
  </si>
  <si>
    <r>
      <rPr>
        <i/>
        <sz val="11"/>
        <color theme="1"/>
        <rFont val="Calibri"/>
        <family val="2"/>
        <scheme val="minor"/>
      </rPr>
      <t xml:space="preserve">Source: </t>
    </r>
    <r>
      <rPr>
        <sz val="11"/>
        <color theme="1"/>
        <rFont val="Calibri"/>
        <family val="2"/>
        <scheme val="minor"/>
      </rPr>
      <t>AIHW analysis of the National Mortality Database</t>
    </r>
  </si>
  <si>
    <r>
      <rPr>
        <i/>
        <sz val="11"/>
        <color theme="1"/>
        <rFont val="Calibri"/>
        <family val="2"/>
        <scheme val="minor"/>
      </rPr>
      <t>Source:</t>
    </r>
    <r>
      <rPr>
        <sz val="11"/>
        <color theme="1"/>
        <rFont val="Calibri"/>
        <family val="2"/>
        <scheme val="minor"/>
      </rPr>
      <t xml:space="preserve"> AIHW analysis of the National Mortality Database</t>
    </r>
  </si>
  <si>
    <t>Deaths per 100,000 people</t>
  </si>
  <si>
    <t>Table S3.2: Deaths due to dementia in 2023: number and age specific rate by age and sex</t>
  </si>
  <si>
    <t>1. Age-specific rates are presented per 100,000 people.</t>
  </si>
  <si>
    <t>Coronary heart disease (I20–I25)</t>
  </si>
  <si>
    <t>Lung cancer (C33, C34)</t>
  </si>
  <si>
    <t>Cerebrovascular disease (I60–I69)</t>
  </si>
  <si>
    <t>Chronic obstructive pulmonary disease (J40–J44)</t>
  </si>
  <si>
    <t xml:space="preserve">Notes: </t>
  </si>
  <si>
    <t xml:space="preserve">1. Leading causes of death are classified using an AIHW-modified version of Becker et al (2006), and 10th revision (ICD-10) codes are presented in parentheses. Dementia as an underlying cause of death is based on an expanded list of death codes attributed to dementia (that is, relative to the usual dementia codes used to report on deaths – G30, F01, and F03), with the aim of better capturing rarer dementia death types and mixed dementia (see Table 8 in Technical notes). </t>
  </si>
  <si>
    <r>
      <t>Dementia</t>
    </r>
    <r>
      <rPr>
        <vertAlign val="superscript"/>
        <sz val="11"/>
        <color theme="1"/>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</si>
</sst>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
    <numFmt numFmtId="167" formatCode="#,##0.0"/>
    <numFmt numFmtId="168" formatCode="#,##0.000"/>
  </numFmts>
  <fonts count="30" x14ac:knownFonts="1">
    <font>
      <sz val="11"/>
      <color theme="1"/>
      <name val="Calibri"/>
      <family val="2"/>
      <scheme val="minor"/>
    </font>
    <font>
      <b/>
      <sz val="11"/>
      <color theme="1"/>
      <name val="Calibri"/>
      <family val="2"/>
      <scheme val="minor"/>
    </font>
    <font>
      <sz val="10"/>
      <color theme="1"/>
      <name val="Calibri"/>
      <family val="2"/>
      <scheme val="minor"/>
    </font>
    <font>
      <sz val="11"/>
      <color theme="1"/>
      <name val="Calibri"/>
      <family val="2"/>
      <scheme val="minor"/>
    </font>
    <font>
      <i/>
      <sz val="11"/>
      <color theme="1"/>
      <name val="Calibri"/>
      <family val="2"/>
      <scheme val="minor"/>
    </font>
    <font>
      <sz val="12"/>
      <color theme="1"/>
      <name val="Calibri"/>
      <family val="2"/>
    </font>
    <font>
      <b/>
      <sz val="12"/>
      <color theme="1"/>
      <name val="Calibri"/>
      <family val="2"/>
      <scheme val="minor"/>
    </font>
    <font>
      <u/>
      <sz val="11"/>
      <color theme="10"/>
      <name val="Calibri"/>
      <family val="2"/>
      <scheme val="minor"/>
    </font>
    <font>
      <sz val="11"/>
      <color theme="1"/>
      <name val="Arial"/>
      <family val="2"/>
    </font>
    <font>
      <sz val="12"/>
      <color theme="1"/>
      <name val="Calibri"/>
      <family val="2"/>
      <scheme val="minor"/>
    </font>
    <font>
      <sz val="12"/>
      <name val="Calibri"/>
      <family val="2"/>
      <scheme val="minor"/>
    </font>
    <font>
      <sz val="10"/>
      <color theme="1"/>
      <name val="Arial"/>
      <family val="2"/>
    </font>
    <font>
      <sz val="9"/>
      <color theme="1"/>
      <name val="Calibri"/>
      <family val="2"/>
      <scheme val="minor"/>
    </font>
    <font>
      <sz val="9"/>
      <name val="Calibri"/>
      <family val="2"/>
      <scheme val="minor"/>
    </font>
    <font>
      <sz val="11"/>
      <color indexed="8"/>
      <name val="Arial"/>
      <family val="2"/>
    </font>
    <font>
      <sz val="9"/>
      <color theme="1"/>
      <name val="Arial"/>
      <family val="2"/>
    </font>
    <font>
      <sz val="9"/>
      <name val="Arial"/>
      <family val="2"/>
    </font>
    <font>
      <u/>
      <sz val="9"/>
      <color indexed="12"/>
      <name val="Arial"/>
      <family val="2"/>
    </font>
    <font>
      <u/>
      <sz val="8"/>
      <color indexed="12"/>
      <name val="Arial"/>
      <family val="2"/>
    </font>
    <font>
      <u/>
      <sz val="11"/>
      <color theme="10"/>
      <name val="Arial"/>
      <family val="2"/>
    </font>
    <font>
      <b/>
      <sz val="16"/>
      <color theme="1"/>
      <name val="Calibri"/>
      <family val="2"/>
    </font>
    <font>
      <sz val="11"/>
      <color theme="1"/>
      <name val="Calibri"/>
      <family val="2"/>
    </font>
    <font>
      <vertAlign val="superscript"/>
      <sz val="11"/>
      <color theme="1"/>
      <name val="Calibri"/>
      <family val="2"/>
    </font>
    <font>
      <sz val="11"/>
      <name val="Calibri"/>
      <family val="2"/>
      <scheme val="minor"/>
    </font>
    <font>
      <sz val="11"/>
      <name val="Calibri"/>
      <family val="2"/>
    </font>
    <font>
      <sz val="11"/>
      <color theme="9" tint="-0.249977111117893"/>
      <name val="Calibri"/>
      <family val="2"/>
      <scheme val="minor"/>
    </font>
    <font>
      <b/>
      <sz val="11"/>
      <color theme="9" tint="-0.249977111117893"/>
      <name val="Calibri"/>
      <family val="2"/>
      <scheme val="minor"/>
    </font>
    <font>
      <b/>
      <sz val="11"/>
      <name val="Calibri"/>
      <family val="2"/>
      <scheme val="minor"/>
    </font>
    <font>
      <b/>
      <sz val="12"/>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7" fillId="0" borderId="0" applyNumberFormat="0" applyFill="0" applyBorder="0" applyAlignment="0" applyProtection="0"/>
    <xf numFmtId="0" fontId="3" fillId="0" borderId="0"/>
    <xf numFmtId="0" fontId="17" fillId="0" borderId="0" applyNumberFormat="0" applyFill="0" applyBorder="0" applyAlignment="0" applyProtection="0">
      <alignment vertical="top"/>
      <protection locked="0"/>
    </xf>
  </cellStyleXfs>
  <cellXfs count="71">
    <xf numFmtId="0" fontId="0" fillId="0" borderId="0" xfId="0"/>
    <xf numFmtId="3" fontId="0" fillId="0" borderId="0" xfId="0" applyNumberFormat="1"/>
    <xf numFmtId="0" fontId="1" fillId="0" borderId="0" xfId="0" applyFont="1"/>
    <xf numFmtId="0" fontId="0" fillId="0" borderId="0" xfId="0" applyAlignment="1">
      <alignment horizontal="left"/>
    </xf>
    <xf numFmtId="0" fontId="5" fillId="2" borderId="0" xfId="0" applyFont="1" applyFill="1"/>
    <xf numFmtId="0" fontId="6" fillId="2" borderId="0" xfId="0" applyFont="1" applyFill="1"/>
    <xf numFmtId="0" fontId="8" fillId="2" borderId="0" xfId="0" applyFont="1" applyFill="1"/>
    <xf numFmtId="0" fontId="9" fillId="2" borderId="0" xfId="0" applyFont="1" applyFill="1"/>
    <xf numFmtId="0" fontId="0" fillId="2" borderId="0" xfId="0" applyFill="1"/>
    <xf numFmtId="0" fontId="11" fillId="2" borderId="0" xfId="0" applyFont="1" applyFill="1"/>
    <xf numFmtId="0" fontId="10"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vertical="center" wrapText="1"/>
    </xf>
    <xf numFmtId="0" fontId="2" fillId="2" borderId="0" xfId="0" applyFont="1" applyFill="1"/>
    <xf numFmtId="0" fontId="12" fillId="2" borderId="0" xfId="0" applyFont="1" applyFill="1"/>
    <xf numFmtId="0" fontId="13" fillId="2" borderId="0" xfId="0" applyFont="1" applyFill="1" applyAlignment="1">
      <alignment horizontal="left" vertical="top" wrapText="1" indent="1"/>
    </xf>
    <xf numFmtId="0" fontId="14" fillId="2" borderId="0" xfId="2" applyFont="1" applyFill="1"/>
    <xf numFmtId="0" fontId="15" fillId="2" borderId="0" xfId="0" applyFont="1" applyFill="1"/>
    <xf numFmtId="0" fontId="16" fillId="2" borderId="0" xfId="0" applyFont="1" applyFill="1" applyAlignment="1">
      <alignment horizontal="left" vertical="top" wrapText="1" indent="1"/>
    </xf>
    <xf numFmtId="0" fontId="18" fillId="2" borderId="0" xfId="3" applyFont="1" applyFill="1" applyAlignment="1" applyProtection="1">
      <alignment horizontal="left"/>
    </xf>
    <xf numFmtId="0" fontId="19" fillId="2" borderId="0" xfId="1" applyFont="1" applyFill="1" applyBorder="1" applyAlignment="1" applyProtection="1">
      <alignment horizontal="left"/>
    </xf>
    <xf numFmtId="0" fontId="6" fillId="0" borderId="0" xfId="0" applyFont="1"/>
    <xf numFmtId="0" fontId="9" fillId="0" borderId="0" xfId="0" applyFont="1"/>
    <xf numFmtId="0" fontId="6" fillId="0" borderId="2" xfId="0" applyFont="1" applyBorder="1"/>
    <xf numFmtId="0" fontId="7" fillId="2" borderId="0" xfId="1" applyFill="1" applyBorder="1"/>
    <xf numFmtId="165" fontId="0" fillId="0" borderId="0" xfId="0" applyNumberFormat="1"/>
    <xf numFmtId="0" fontId="0" fillId="0" borderId="1" xfId="0" applyBorder="1"/>
    <xf numFmtId="3" fontId="0" fillId="0" borderId="1" xfId="0" applyNumberFormat="1" applyBorder="1"/>
    <xf numFmtId="0" fontId="20" fillId="2" borderId="0" xfId="0" applyFont="1" applyFill="1"/>
    <xf numFmtId="0" fontId="21" fillId="2" borderId="0" xfId="0" applyFont="1" applyFill="1" applyAlignment="1">
      <alignment horizontal="left" vertical="top" wrapText="1"/>
    </xf>
    <xf numFmtId="0" fontId="21" fillId="2" borderId="0" xfId="0" applyFont="1" applyFill="1" applyAlignment="1">
      <alignment vertical="top" wrapText="1"/>
    </xf>
    <xf numFmtId="0" fontId="21" fillId="2" borderId="0" xfId="0" applyFont="1" applyFill="1"/>
    <xf numFmtId="0" fontId="0" fillId="2" borderId="0" xfId="0" applyFill="1" applyAlignment="1">
      <alignment vertical="center"/>
    </xf>
    <xf numFmtId="0" fontId="23" fillId="2" borderId="0" xfId="0" applyFont="1" applyFill="1" applyAlignment="1">
      <alignment vertical="center" wrapText="1"/>
    </xf>
    <xf numFmtId="0" fontId="5" fillId="2" borderId="0" xfId="0" quotePrefix="1" applyFont="1" applyFill="1"/>
    <xf numFmtId="0" fontId="0" fillId="0" borderId="0" xfId="0" applyAlignment="1">
      <alignment horizontal="center" wrapText="1"/>
    </xf>
    <xf numFmtId="0" fontId="0" fillId="0" borderId="3" xfId="0" applyBorder="1" applyAlignment="1">
      <alignment horizontal="left" wrapText="1"/>
    </xf>
    <xf numFmtId="0" fontId="0" fillId="0" borderId="3" xfId="0" applyBorder="1"/>
    <xf numFmtId="0" fontId="0" fillId="0" borderId="0" xfId="0"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2" xfId="0" applyFont="1" applyBorder="1" applyAlignment="1">
      <alignment horizontal="right"/>
    </xf>
    <xf numFmtId="165" fontId="0" fillId="0" borderId="1" xfId="0" applyNumberFormat="1" applyBorder="1"/>
    <xf numFmtId="167" fontId="0" fillId="0" borderId="0" xfId="0" applyNumberFormat="1" applyAlignment="1">
      <alignment horizontal="right"/>
    </xf>
    <xf numFmtId="167" fontId="0" fillId="0" borderId="0" xfId="0" applyNumberFormat="1"/>
    <xf numFmtId="167" fontId="0" fillId="0" borderId="1" xfId="0" applyNumberFormat="1" applyBorder="1"/>
    <xf numFmtId="0" fontId="7" fillId="0" borderId="0" xfId="1"/>
    <xf numFmtId="0" fontId="25" fillId="0" borderId="3" xfId="0" applyFont="1" applyBorder="1" applyAlignment="1">
      <alignment horizontal="left" wrapText="1"/>
    </xf>
    <xf numFmtId="0" fontId="25" fillId="0" borderId="0" xfId="0" applyFont="1"/>
    <xf numFmtId="4" fontId="0" fillId="0" borderId="0" xfId="0" applyNumberFormat="1"/>
    <xf numFmtId="0" fontId="1" fillId="0" borderId="0" xfId="0" applyFont="1" applyAlignment="1">
      <alignment wrapText="1"/>
    </xf>
    <xf numFmtId="0" fontId="26" fillId="0" borderId="0" xfId="0" applyFont="1"/>
    <xf numFmtId="0" fontId="25" fillId="0" borderId="0" xfId="0" applyFont="1" applyAlignment="1">
      <alignment horizontal="left" wrapText="1"/>
    </xf>
    <xf numFmtId="168" fontId="0" fillId="0" borderId="0" xfId="0" applyNumberFormat="1"/>
    <xf numFmtId="167" fontId="0" fillId="0" borderId="0" xfId="0" applyNumberFormat="1" applyAlignment="1">
      <alignment horizontal="left"/>
    </xf>
    <xf numFmtId="0" fontId="28" fillId="0" borderId="0" xfId="0" applyFont="1"/>
    <xf numFmtId="0" fontId="23" fillId="0" borderId="0" xfId="0" applyFont="1"/>
    <xf numFmtId="0" fontId="4" fillId="0" borderId="0" xfId="0" applyFont="1"/>
    <xf numFmtId="0" fontId="4" fillId="0" borderId="3" xfId="0" applyFont="1" applyBorder="1"/>
    <xf numFmtId="0" fontId="27" fillId="0" borderId="1" xfId="0" applyFont="1" applyBorder="1" applyAlignment="1">
      <alignment horizontal="right" wrapText="1"/>
    </xf>
    <xf numFmtId="0" fontId="24" fillId="2" borderId="0" xfId="0" applyFont="1" applyFill="1" applyAlignment="1">
      <alignment horizontal="left" vertical="top" wrapText="1"/>
    </xf>
    <xf numFmtId="0" fontId="21" fillId="2" borderId="0" xfId="0" applyFont="1" applyFill="1" applyAlignment="1">
      <alignment horizontal="left" vertical="top" wrapText="1"/>
    </xf>
    <xf numFmtId="0" fontId="1" fillId="0" borderId="2" xfId="0" applyFont="1" applyBorder="1" applyAlignment="1">
      <alignment horizontal="center"/>
    </xf>
    <xf numFmtId="0" fontId="1" fillId="0" borderId="3" xfId="0" applyFont="1" applyBorder="1" applyAlignment="1">
      <alignment horizontal="center" wrapText="1"/>
    </xf>
    <xf numFmtId="0" fontId="27" fillId="0" borderId="3" xfId="0" applyFont="1" applyBorder="1" applyAlignment="1">
      <alignment horizontal="center" wrapText="1"/>
    </xf>
    <xf numFmtId="0" fontId="1" fillId="0" borderId="3" xfId="0" applyFont="1" applyBorder="1"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center" wrapText="1"/>
    </xf>
    <xf numFmtId="0" fontId="1" fillId="0" borderId="3" xfId="0" applyFont="1" applyBorder="1"/>
    <xf numFmtId="0" fontId="1" fillId="0" borderId="1" xfId="0" applyFont="1" applyBorder="1"/>
    <xf numFmtId="0" fontId="23" fillId="0" borderId="0" xfId="0" applyFont="1" applyAlignment="1">
      <alignment horizontal="left" vertical="center" wrapText="1"/>
    </xf>
  </cellXfs>
  <cellStyles count="4">
    <cellStyle name="Hyperlink" xfId="1" builtinId="8"/>
    <cellStyle name="Hyperlink 11" xfId="3" xr:uid="{00000000-0005-0000-0000-000002000000}"/>
    <cellStyle name="Normal" xfId="0" builtinId="0"/>
    <cellStyle name="Normal 2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2717800</xdr:colOff>
      <xdr:row>3</xdr:row>
      <xdr:rowOff>104775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1885950</xdr:colOff>
      <xdr:row>39</xdr:row>
      <xdr:rowOff>0</xdr:rowOff>
    </xdr:from>
    <xdr:ext cx="590550" cy="114300"/>
    <xdr:pic>
      <xdr:nvPicPr>
        <xdr:cNvPr id="3" name="Picture 7" descr="H:\Exchange\Temp\CC.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6391275"/>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M41"/>
  <sheetViews>
    <sheetView tabSelected="1" workbookViewId="0">
      <selection activeCell="C14" sqref="C14"/>
    </sheetView>
  </sheetViews>
  <sheetFormatPr baseColWidth="10" defaultColWidth="9.1640625" defaultRowHeight="16" x14ac:dyDescent="0.2"/>
  <cols>
    <col min="1" max="1" width="2.83203125" style="4" customWidth="1"/>
    <col min="2" max="2" width="7.6640625" style="4" customWidth="1"/>
    <col min="3" max="3" width="89.6640625" style="4" customWidth="1"/>
    <col min="4" max="16384" width="9.1640625" style="4"/>
  </cols>
  <sheetData>
    <row r="5" spans="2:5" ht="21" x14ac:dyDescent="0.25">
      <c r="B5" s="28" t="s">
        <v>30</v>
      </c>
    </row>
    <row r="6" spans="2:5" ht="21" x14ac:dyDescent="0.25">
      <c r="B6" s="28"/>
    </row>
    <row r="7" spans="2:5" x14ac:dyDescent="0.2">
      <c r="B7" s="5" t="s">
        <v>23</v>
      </c>
    </row>
    <row r="8" spans="2:5" x14ac:dyDescent="0.2">
      <c r="B8" s="24" t="str">
        <f>'S3.1'!A1</f>
        <v>Table S3.1: Leading causes of death in Australia in 2023, by sex: number and crude rate</v>
      </c>
      <c r="E8" s="34"/>
    </row>
    <row r="9" spans="2:5" x14ac:dyDescent="0.2">
      <c r="B9" s="24" t="str">
        <f>'S3.2'!A1</f>
        <v>Table S3.2: Deaths due to dementia in 2023: number and age specific rate by age and sex</v>
      </c>
      <c r="E9" s="34"/>
    </row>
    <row r="10" spans="2:5" x14ac:dyDescent="0.2">
      <c r="B10" s="24" t="str">
        <f>'S3.3'!A1</f>
        <v>Table S3.3: Deaths due to dementia in Australia over the period 2009 to 2023: number, age-standardised and crude rates by sex</v>
      </c>
      <c r="E10" s="34"/>
    </row>
    <row r="11" spans="2:5" x14ac:dyDescent="0.2">
      <c r="B11" s="24"/>
      <c r="E11" s="34"/>
    </row>
    <row r="12" spans="2:5" x14ac:dyDescent="0.2">
      <c r="B12" s="24"/>
      <c r="E12" s="34"/>
    </row>
    <row r="13" spans="2:5" x14ac:dyDescent="0.2">
      <c r="B13" s="24"/>
      <c r="E13" s="34"/>
    </row>
    <row r="14" spans="2:5" x14ac:dyDescent="0.2">
      <c r="B14" s="24"/>
      <c r="E14" s="34"/>
    </row>
    <row r="15" spans="2:5" x14ac:dyDescent="0.2">
      <c r="B15" s="24"/>
      <c r="E15" s="34"/>
    </row>
    <row r="16" spans="2:5" x14ac:dyDescent="0.2">
      <c r="B16" s="24"/>
      <c r="E16" s="34"/>
    </row>
    <row r="17" spans="2:13" x14ac:dyDescent="0.2">
      <c r="B17" s="24"/>
      <c r="E17" s="34"/>
    </row>
    <row r="18" spans="2:13" x14ac:dyDescent="0.2">
      <c r="B18" s="24"/>
      <c r="E18" s="34"/>
    </row>
    <row r="19" spans="2:13" x14ac:dyDescent="0.2">
      <c r="B19" s="24"/>
    </row>
    <row r="20" spans="2:13" s="6" customFormat="1" x14ac:dyDescent="0.2">
      <c r="B20" s="5" t="s">
        <v>15</v>
      </c>
      <c r="C20" s="4"/>
      <c r="D20" s="4"/>
      <c r="E20" s="4"/>
      <c r="F20" s="4"/>
      <c r="G20" s="4"/>
      <c r="H20" s="4"/>
      <c r="I20" s="4"/>
      <c r="J20" s="4"/>
    </row>
    <row r="21" spans="2:13" s="7" customFormat="1" ht="76" customHeight="1" x14ac:dyDescent="0.2">
      <c r="B21" s="61" t="s">
        <v>24</v>
      </c>
      <c r="C21" s="61"/>
      <c r="D21" s="61"/>
      <c r="E21" s="61"/>
      <c r="F21" s="61"/>
      <c r="G21" s="30"/>
      <c r="H21" s="30"/>
      <c r="I21" s="30"/>
      <c r="J21" s="30"/>
      <c r="K21" s="30"/>
      <c r="L21" s="30"/>
      <c r="M21" s="30"/>
    </row>
    <row r="22" spans="2:13" s="7" customFormat="1" x14ac:dyDescent="0.2">
      <c r="B22" s="29"/>
      <c r="C22" s="29"/>
      <c r="D22" s="29"/>
      <c r="E22" s="29"/>
      <c r="F22" s="29"/>
      <c r="G22" s="30"/>
      <c r="H22" s="30"/>
      <c r="I22" s="30"/>
      <c r="J22" s="30"/>
      <c r="K22" s="30"/>
      <c r="L22" s="30"/>
      <c r="M22" s="30"/>
    </row>
    <row r="23" spans="2:13" s="7" customFormat="1" ht="15.75" customHeight="1" x14ac:dyDescent="0.2">
      <c r="B23" s="61" t="s">
        <v>25</v>
      </c>
      <c r="C23" s="61"/>
      <c r="D23" s="61"/>
      <c r="E23" s="61"/>
      <c r="F23" s="61"/>
      <c r="G23" s="30"/>
      <c r="H23" s="30"/>
      <c r="I23" s="30"/>
      <c r="J23" s="30"/>
      <c r="K23" s="30"/>
      <c r="L23" s="30"/>
      <c r="M23" s="30"/>
    </row>
    <row r="24" spans="2:13" s="7" customFormat="1" ht="15.75" customHeight="1" x14ac:dyDescent="0.2">
      <c r="B24" s="29"/>
      <c r="C24" s="29"/>
      <c r="D24" s="29"/>
      <c r="E24" s="29"/>
      <c r="F24" s="29"/>
      <c r="G24" s="30"/>
      <c r="H24" s="30"/>
      <c r="I24" s="30"/>
      <c r="J24" s="30"/>
      <c r="K24" s="30"/>
      <c r="L24" s="30"/>
      <c r="M24" s="30"/>
    </row>
    <row r="25" spans="2:13" s="7" customFormat="1" ht="43" customHeight="1" x14ac:dyDescent="0.2">
      <c r="B25" s="61" t="s">
        <v>34</v>
      </c>
      <c r="C25" s="61"/>
      <c r="D25" s="61"/>
      <c r="E25" s="61"/>
      <c r="F25" s="61"/>
      <c r="G25" s="30"/>
      <c r="H25" s="30"/>
      <c r="I25" s="30"/>
      <c r="J25" s="30"/>
      <c r="K25" s="30"/>
      <c r="L25" s="30"/>
      <c r="M25" s="30"/>
    </row>
    <row r="26" spans="2:13" s="7" customFormat="1" x14ac:dyDescent="0.2">
      <c r="B26" s="29"/>
      <c r="C26" s="29"/>
      <c r="D26" s="29"/>
      <c r="E26" s="29"/>
      <c r="F26" s="29"/>
      <c r="G26" s="30"/>
      <c r="H26" s="30"/>
      <c r="I26" s="30"/>
      <c r="J26" s="30"/>
      <c r="K26" s="30"/>
      <c r="L26" s="30"/>
      <c r="M26" s="30"/>
    </row>
    <row r="27" spans="2:13" s="7" customFormat="1" ht="88" customHeight="1" x14ac:dyDescent="0.2">
      <c r="B27" s="61" t="s">
        <v>31</v>
      </c>
      <c r="C27" s="61"/>
      <c r="D27" s="61"/>
      <c r="E27" s="61"/>
      <c r="F27" s="61"/>
      <c r="G27" s="30"/>
      <c r="H27" s="30"/>
      <c r="I27" s="30"/>
      <c r="J27" s="30"/>
      <c r="K27" s="30"/>
      <c r="L27" s="30"/>
      <c r="M27" s="30"/>
    </row>
    <row r="28" spans="2:13" s="7" customFormat="1" x14ac:dyDescent="0.2">
      <c r="B28" s="29"/>
      <c r="C28" s="29"/>
      <c r="D28" s="29"/>
      <c r="E28" s="29"/>
      <c r="F28" s="29"/>
      <c r="G28" s="30"/>
      <c r="H28" s="30"/>
      <c r="I28" s="30"/>
      <c r="J28" s="30"/>
      <c r="K28" s="30"/>
      <c r="L28" s="30"/>
      <c r="M28" s="30"/>
    </row>
    <row r="29" spans="2:13" s="7" customFormat="1" ht="16" customHeight="1" x14ac:dyDescent="0.2">
      <c r="B29" s="60" t="s">
        <v>29</v>
      </c>
      <c r="C29" s="60"/>
      <c r="D29" s="60"/>
      <c r="E29" s="60"/>
      <c r="F29" s="60"/>
      <c r="G29" s="6"/>
      <c r="H29" s="6"/>
      <c r="I29" s="6"/>
      <c r="J29" s="6"/>
    </row>
    <row r="30" spans="2:13" s="7" customFormat="1" x14ac:dyDescent="0.2">
      <c r="B30" s="8"/>
      <c r="C30" s="31"/>
      <c r="D30" s="8"/>
      <c r="E30" s="8"/>
      <c r="F30" s="8"/>
      <c r="G30" s="8"/>
      <c r="H30" s="8"/>
      <c r="I30" s="8"/>
      <c r="J30" s="8"/>
    </row>
    <row r="31" spans="2:13" s="7" customFormat="1" x14ac:dyDescent="0.2">
      <c r="B31" s="5" t="s">
        <v>16</v>
      </c>
      <c r="C31" s="9"/>
    </row>
    <row r="32" spans="2:13" s="7" customFormat="1" x14ac:dyDescent="0.2">
      <c r="B32" s="32" t="s">
        <v>17</v>
      </c>
      <c r="C32" s="33" t="s">
        <v>18</v>
      </c>
    </row>
    <row r="33" spans="2:10" s="7" customFormat="1" x14ac:dyDescent="0.2">
      <c r="B33" s="11"/>
      <c r="C33" s="12"/>
    </row>
    <row r="34" spans="2:10" s="8" customFormat="1" x14ac:dyDescent="0.2">
      <c r="B34" s="5" t="s">
        <v>19</v>
      </c>
      <c r="C34" s="13"/>
      <c r="D34" s="7"/>
      <c r="E34" s="7"/>
      <c r="F34" s="7"/>
      <c r="G34" s="7"/>
      <c r="H34" s="7"/>
      <c r="I34" s="7"/>
      <c r="J34" s="7"/>
    </row>
    <row r="35" spans="2:10" s="7" customFormat="1" x14ac:dyDescent="0.2">
      <c r="B35" s="8" t="s">
        <v>21</v>
      </c>
      <c r="C35" s="10"/>
      <c r="D35" s="8"/>
      <c r="E35" s="8"/>
      <c r="F35" s="8"/>
      <c r="G35" s="8"/>
      <c r="H35" s="8"/>
      <c r="I35" s="8"/>
      <c r="J35" s="8"/>
    </row>
    <row r="36" spans="2:10" s="8" customFormat="1" ht="15" x14ac:dyDescent="0.2">
      <c r="B36" s="14"/>
      <c r="C36" s="15"/>
      <c r="D36" s="16"/>
      <c r="E36" s="16"/>
      <c r="F36" s="16"/>
      <c r="G36" s="16"/>
      <c r="H36" s="16"/>
      <c r="I36" s="16"/>
      <c r="J36" s="16"/>
    </row>
    <row r="37" spans="2:10" x14ac:dyDescent="0.2">
      <c r="B37" s="5" t="s">
        <v>20</v>
      </c>
      <c r="C37" s="13"/>
      <c r="D37" s="8"/>
      <c r="E37" s="8"/>
      <c r="F37" s="8"/>
      <c r="G37" s="8"/>
      <c r="H37" s="8"/>
      <c r="I37" s="8"/>
      <c r="J37" s="8"/>
    </row>
    <row r="38" spans="2:10" x14ac:dyDescent="0.2">
      <c r="B38" s="8" t="s">
        <v>32</v>
      </c>
      <c r="C38" s="10"/>
    </row>
    <row r="39" spans="2:10" x14ac:dyDescent="0.2">
      <c r="B39" s="17"/>
      <c r="C39" s="18"/>
    </row>
    <row r="40" spans="2:10" x14ac:dyDescent="0.2">
      <c r="B40" s="19" t="s">
        <v>36</v>
      </c>
      <c r="C40" s="20"/>
    </row>
    <row r="41" spans="2:10" x14ac:dyDescent="0.2">
      <c r="B41" s="17"/>
      <c r="C41" s="18"/>
    </row>
  </sheetData>
  <mergeCells count="5">
    <mergeCell ref="B29:F29"/>
    <mergeCell ref="B21:F21"/>
    <mergeCell ref="B23:F23"/>
    <mergeCell ref="B25:F25"/>
    <mergeCell ref="B27:F27"/>
  </mergeCells>
  <hyperlinks>
    <hyperlink ref="B10" location="S3.3!A1" display="Table S3.3: Deaths due to dementia in Australia over the period 2012 to 2021: number and age-standardised rate by sex" xr:uid="{00000000-0004-0000-0000-000002000000}"/>
    <hyperlink ref="B9" location="S3.2!A1" display="Table S3.2: Deaths due to dementia in 2021: number and age-specific rates by age and sex" xr:uid="{00000000-0004-0000-0000-000009000000}"/>
    <hyperlink ref="B8" location="S3.1!A1" display="S3.1!A1" xr:uid="{00000000-0004-0000-0000-00000A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FF59-4113-4D96-8E94-2D2F40833C08}">
  <dimension ref="A1:P14"/>
  <sheetViews>
    <sheetView workbookViewId="0"/>
  </sheetViews>
  <sheetFormatPr baseColWidth="10" defaultColWidth="9.1640625" defaultRowHeight="15" x14ac:dyDescent="0.2"/>
  <cols>
    <col min="1" max="1" width="42.5" customWidth="1"/>
    <col min="2" max="2" width="13.83203125" customWidth="1"/>
    <col min="3" max="3" width="10.83203125" customWidth="1"/>
    <col min="4" max="4" width="42.1640625" customWidth="1"/>
    <col min="5" max="5" width="13.1640625" customWidth="1"/>
    <col min="6" max="6" width="10.5" bestFit="1" customWidth="1"/>
    <col min="7" max="7" width="40.83203125" customWidth="1"/>
    <col min="8" max="8" width="8.5" customWidth="1"/>
    <col min="9" max="9" width="10.5" bestFit="1" customWidth="1"/>
    <col min="10" max="10" width="17.1640625" customWidth="1"/>
  </cols>
  <sheetData>
    <row r="1" spans="1:16" ht="20.25" customHeight="1" x14ac:dyDescent="0.2">
      <c r="A1" s="21" t="s">
        <v>33</v>
      </c>
      <c r="F1" s="48"/>
    </row>
    <row r="2" spans="1:16" x14ac:dyDescent="0.2">
      <c r="A2" s="62" t="s">
        <v>5</v>
      </c>
      <c r="B2" s="62"/>
      <c r="C2" s="62"/>
      <c r="D2" s="62" t="s">
        <v>4</v>
      </c>
      <c r="E2" s="62"/>
      <c r="F2" s="62"/>
      <c r="G2" s="62" t="s">
        <v>1</v>
      </c>
      <c r="H2" s="62"/>
      <c r="I2" s="62"/>
    </row>
    <row r="3" spans="1:16" s="35" customFormat="1" ht="64" x14ac:dyDescent="0.2">
      <c r="A3" s="39" t="s">
        <v>2</v>
      </c>
      <c r="B3" s="59" t="s">
        <v>42</v>
      </c>
      <c r="C3" s="40" t="s">
        <v>3</v>
      </c>
      <c r="D3" s="39" t="s">
        <v>2</v>
      </c>
      <c r="E3" s="59" t="s">
        <v>42</v>
      </c>
      <c r="F3" s="40" t="s">
        <v>3</v>
      </c>
      <c r="G3" s="39" t="s">
        <v>2</v>
      </c>
      <c r="H3" s="59" t="s">
        <v>42</v>
      </c>
      <c r="I3" s="40" t="s">
        <v>3</v>
      </c>
    </row>
    <row r="4" spans="1:16" ht="17" x14ac:dyDescent="0.2">
      <c r="A4" t="s">
        <v>45</v>
      </c>
      <c r="B4" s="25">
        <v>78.163080696976181</v>
      </c>
      <c r="C4" s="1">
        <v>10343</v>
      </c>
      <c r="D4" t="s">
        <v>51</v>
      </c>
      <c r="E4" s="25">
        <v>81.14641025493907</v>
      </c>
      <c r="F4" s="1">
        <v>10890</v>
      </c>
      <c r="G4" t="s">
        <v>51</v>
      </c>
      <c r="H4" s="25">
        <v>65.317771577798439</v>
      </c>
      <c r="I4" s="1">
        <v>17409</v>
      </c>
      <c r="P4" s="1"/>
    </row>
    <row r="5" spans="1:16" ht="17" x14ac:dyDescent="0.2">
      <c r="A5" t="s">
        <v>51</v>
      </c>
      <c r="B5" s="25">
        <v>49.264731998799931</v>
      </c>
      <c r="C5" s="1">
        <v>6519</v>
      </c>
      <c r="D5" t="s">
        <v>45</v>
      </c>
      <c r="E5" s="25">
        <v>49.023161897818561</v>
      </c>
      <c r="F5" s="1">
        <v>6579</v>
      </c>
      <c r="G5" t="s">
        <v>45</v>
      </c>
      <c r="H5" s="25">
        <v>63.490569856942109</v>
      </c>
      <c r="I5" s="1">
        <v>16922</v>
      </c>
      <c r="P5" s="1"/>
    </row>
    <row r="6" spans="1:16" x14ac:dyDescent="0.2">
      <c r="A6" t="s">
        <v>46</v>
      </c>
      <c r="B6" s="25">
        <v>39.251575088474745</v>
      </c>
      <c r="C6" s="1">
        <v>5194</v>
      </c>
      <c r="D6" t="s">
        <v>47</v>
      </c>
      <c r="E6" s="25">
        <v>39.217039226055491</v>
      </c>
      <c r="F6" s="1">
        <v>5263</v>
      </c>
      <c r="G6" t="s">
        <v>47</v>
      </c>
      <c r="H6" s="25">
        <v>35.114539847011066</v>
      </c>
      <c r="I6" s="1">
        <v>9359</v>
      </c>
      <c r="P6" s="1"/>
    </row>
    <row r="7" spans="1:16" x14ac:dyDescent="0.2">
      <c r="A7" t="s">
        <v>47</v>
      </c>
      <c r="B7" s="25">
        <v>30.953879777126019</v>
      </c>
      <c r="C7" s="1">
        <v>4096</v>
      </c>
      <c r="D7" t="s">
        <v>46</v>
      </c>
      <c r="E7" s="25">
        <v>28.181425489823653</v>
      </c>
      <c r="F7" s="1">
        <v>3782</v>
      </c>
      <c r="G7" t="s">
        <v>46</v>
      </c>
      <c r="H7" s="25">
        <v>33.67754136839099</v>
      </c>
      <c r="I7" s="1">
        <v>8976</v>
      </c>
      <c r="P7" s="1"/>
    </row>
    <row r="8" spans="1:16" x14ac:dyDescent="0.2">
      <c r="A8" s="26" t="s">
        <v>48</v>
      </c>
      <c r="B8" s="25">
        <v>29.57848765812286</v>
      </c>
      <c r="C8" s="1">
        <v>3914</v>
      </c>
      <c r="D8" t="s">
        <v>48</v>
      </c>
      <c r="E8" s="25">
        <v>26.080113488731566</v>
      </c>
      <c r="F8" s="27">
        <v>3500</v>
      </c>
      <c r="G8" s="26" t="s">
        <v>48</v>
      </c>
      <c r="H8" s="42">
        <v>27.816988826342559</v>
      </c>
      <c r="I8" s="27">
        <v>7414</v>
      </c>
    </row>
    <row r="9" spans="1:16" x14ac:dyDescent="0.2">
      <c r="A9" t="s">
        <v>49</v>
      </c>
      <c r="B9" s="47"/>
      <c r="C9" s="36"/>
      <c r="D9" s="36"/>
      <c r="E9" s="47"/>
      <c r="H9" s="47"/>
    </row>
    <row r="10" spans="1:16" x14ac:dyDescent="0.2">
      <c r="A10" t="s">
        <v>50</v>
      </c>
      <c r="B10" s="52"/>
      <c r="C10" s="38"/>
      <c r="D10" s="38"/>
      <c r="E10" s="52"/>
      <c r="H10" s="52"/>
    </row>
    <row r="11" spans="1:16" x14ac:dyDescent="0.2">
      <c r="A11" t="s">
        <v>22</v>
      </c>
      <c r="B11" s="52"/>
      <c r="C11" s="38"/>
      <c r="D11" s="38"/>
      <c r="E11" s="52"/>
      <c r="H11" s="52"/>
    </row>
    <row r="12" spans="1:16" x14ac:dyDescent="0.2">
      <c r="A12" t="s">
        <v>40</v>
      </c>
    </row>
    <row r="13" spans="1:16" x14ac:dyDescent="0.2">
      <c r="B13" s="52"/>
    </row>
    <row r="14" spans="1:16" x14ac:dyDescent="0.2">
      <c r="A14" s="46" t="s">
        <v>37</v>
      </c>
    </row>
  </sheetData>
  <mergeCells count="3">
    <mergeCell ref="A2:C2"/>
    <mergeCell ref="D2:F2"/>
    <mergeCell ref="G2:I2"/>
  </mergeCells>
  <hyperlinks>
    <hyperlink ref="A14" location="Contents!A1" display="Back to contents page" xr:uid="{9A18163D-D040-489A-9D58-0E58FE49DED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9"/>
  <sheetViews>
    <sheetView workbookViewId="0"/>
  </sheetViews>
  <sheetFormatPr baseColWidth="10" defaultColWidth="8.83203125" defaultRowHeight="15" x14ac:dyDescent="0.2"/>
  <cols>
    <col min="1" max="1" width="13.5" customWidth="1"/>
    <col min="2" max="7" width="9.6640625" customWidth="1"/>
  </cols>
  <sheetData>
    <row r="1" spans="1:10" ht="16" x14ac:dyDescent="0.2">
      <c r="A1" s="55" t="s">
        <v>43</v>
      </c>
      <c r="B1" s="22"/>
      <c r="C1" s="22"/>
      <c r="D1" s="22"/>
      <c r="E1" s="22"/>
      <c r="F1" s="22"/>
      <c r="G1" s="22"/>
      <c r="J1" s="51"/>
    </row>
    <row r="2" spans="1:10" ht="30" customHeight="1" x14ac:dyDescent="0.2">
      <c r="A2" s="65" t="s">
        <v>26</v>
      </c>
      <c r="B2" s="63" t="s">
        <v>3</v>
      </c>
      <c r="C2" s="63"/>
      <c r="D2" s="63"/>
      <c r="E2" s="64" t="s">
        <v>42</v>
      </c>
      <c r="F2" s="64"/>
      <c r="G2" s="64"/>
    </row>
    <row r="3" spans="1:10" ht="14.5" customHeight="1" x14ac:dyDescent="0.2">
      <c r="A3" s="66"/>
      <c r="B3" s="41" t="s">
        <v>5</v>
      </c>
      <c r="C3" s="41" t="s">
        <v>4</v>
      </c>
      <c r="D3" s="41" t="s">
        <v>1</v>
      </c>
      <c r="E3" s="41" t="s">
        <v>5</v>
      </c>
      <c r="F3" s="41" t="s">
        <v>4</v>
      </c>
      <c r="G3" s="41" t="s">
        <v>1</v>
      </c>
    </row>
    <row r="4" spans="1:10" x14ac:dyDescent="0.2">
      <c r="A4" t="s">
        <v>6</v>
      </c>
      <c r="B4" s="1">
        <v>26</v>
      </c>
      <c r="C4" s="1">
        <v>21</v>
      </c>
      <c r="D4" s="1">
        <v>47</v>
      </c>
      <c r="E4" s="1">
        <v>0.25086829375982489</v>
      </c>
      <c r="F4" s="1">
        <v>0.20566166990420573</v>
      </c>
      <c r="G4" s="1">
        <v>0.22843313001650697</v>
      </c>
      <c r="H4" s="1"/>
      <c r="I4" s="1"/>
    </row>
    <row r="5" spans="1:10" x14ac:dyDescent="0.2">
      <c r="A5" t="s">
        <v>7</v>
      </c>
      <c r="B5" s="1">
        <v>39</v>
      </c>
      <c r="C5" s="1">
        <v>49</v>
      </c>
      <c r="D5" s="1">
        <v>88</v>
      </c>
      <c r="E5" s="1">
        <v>5.2811322747597087</v>
      </c>
      <c r="F5" s="1">
        <v>6.2877505636519251</v>
      </c>
      <c r="G5" s="1">
        <v>5.7979761110207004</v>
      </c>
      <c r="H5" s="1"/>
      <c r="I5" s="1"/>
      <c r="J5" s="1"/>
    </row>
    <row r="6" spans="1:10" x14ac:dyDescent="0.2">
      <c r="A6" t="s">
        <v>8</v>
      </c>
      <c r="B6" s="1">
        <v>113</v>
      </c>
      <c r="C6" s="1">
        <v>120</v>
      </c>
      <c r="D6" s="1">
        <v>233</v>
      </c>
      <c r="E6" s="1">
        <v>17.712431619041649</v>
      </c>
      <c r="F6" s="1">
        <v>17.381882863491384</v>
      </c>
      <c r="G6" s="1">
        <v>17.540637063893087</v>
      </c>
      <c r="H6" s="1"/>
      <c r="I6" s="1"/>
      <c r="J6" s="1"/>
    </row>
    <row r="7" spans="1:10" x14ac:dyDescent="0.2">
      <c r="A7" t="s">
        <v>9</v>
      </c>
      <c r="B7" s="1">
        <v>340</v>
      </c>
      <c r="C7" s="1">
        <v>366</v>
      </c>
      <c r="D7" s="1">
        <v>706</v>
      </c>
      <c r="E7" s="1">
        <v>61.311857352554</v>
      </c>
      <c r="F7" s="1">
        <v>60.69279331118986</v>
      </c>
      <c r="G7" s="1">
        <v>60.989357961746023</v>
      </c>
    </row>
    <row r="8" spans="1:10" x14ac:dyDescent="0.2">
      <c r="A8" t="s">
        <v>10</v>
      </c>
      <c r="B8" s="1">
        <v>805</v>
      </c>
      <c r="C8" s="1">
        <v>926</v>
      </c>
      <c r="D8" s="1">
        <v>1731</v>
      </c>
      <c r="E8" s="1">
        <v>180.74656188605107</v>
      </c>
      <c r="F8" s="1">
        <v>191.05743896375066</v>
      </c>
      <c r="G8" s="1">
        <v>186.11982633117071</v>
      </c>
    </row>
    <row r="9" spans="1:10" x14ac:dyDescent="0.2">
      <c r="A9" t="s">
        <v>11</v>
      </c>
      <c r="B9" s="1">
        <v>1338</v>
      </c>
      <c r="C9" s="1">
        <v>1667</v>
      </c>
      <c r="D9" s="1">
        <v>3005</v>
      </c>
      <c r="E9" s="1">
        <v>497.54203821182352</v>
      </c>
      <c r="F9" s="1">
        <v>530.69228761166187</v>
      </c>
      <c r="G9" s="1">
        <v>515.40203073545558</v>
      </c>
    </row>
    <row r="10" spans="1:10" x14ac:dyDescent="0.2">
      <c r="A10" t="s">
        <v>12</v>
      </c>
      <c r="B10" s="1">
        <v>1747</v>
      </c>
      <c r="C10" s="1">
        <v>2626</v>
      </c>
      <c r="D10" s="1">
        <v>4373</v>
      </c>
      <c r="E10" s="1">
        <v>1186.2243165799803</v>
      </c>
      <c r="F10" s="1">
        <v>1319.7903212025874</v>
      </c>
      <c r="G10" s="1">
        <v>1262.9785267657294</v>
      </c>
    </row>
    <row r="11" spans="1:10" x14ac:dyDescent="0.2">
      <c r="A11" t="s">
        <v>13</v>
      </c>
      <c r="B11" s="1">
        <v>1465</v>
      </c>
      <c r="C11" s="1">
        <v>3000</v>
      </c>
      <c r="D11" s="1">
        <v>4465</v>
      </c>
      <c r="E11" s="1">
        <v>2433.191051171752</v>
      </c>
      <c r="F11" s="1">
        <v>2952.9012254540085</v>
      </c>
      <c r="G11" s="1">
        <v>2759.5115077501173</v>
      </c>
    </row>
    <row r="12" spans="1:10" x14ac:dyDescent="0.2">
      <c r="A12" s="26" t="s">
        <v>0</v>
      </c>
      <c r="B12" s="27">
        <v>646</v>
      </c>
      <c r="C12" s="27">
        <v>2115</v>
      </c>
      <c r="D12" s="27">
        <v>2761</v>
      </c>
      <c r="E12" s="27">
        <v>4084.4714213454731</v>
      </c>
      <c r="F12" s="27">
        <v>5688.0832638571392</v>
      </c>
      <c r="G12" s="27">
        <v>5209.5322553255719</v>
      </c>
    </row>
    <row r="13" spans="1:10" x14ac:dyDescent="0.2">
      <c r="A13" s="57" t="s">
        <v>15</v>
      </c>
    </row>
    <row r="14" spans="1:10" x14ac:dyDescent="0.2">
      <c r="A14" s="56" t="s">
        <v>44</v>
      </c>
    </row>
    <row r="15" spans="1:10" x14ac:dyDescent="0.2">
      <c r="A15" t="s">
        <v>22</v>
      </c>
    </row>
    <row r="16" spans="1:10" x14ac:dyDescent="0.2">
      <c r="A16" t="s">
        <v>41</v>
      </c>
    </row>
    <row r="17" spans="1:23" x14ac:dyDescent="0.2">
      <c r="U17" s="1"/>
      <c r="V17" s="1"/>
      <c r="W17" s="1"/>
    </row>
    <row r="18" spans="1:23" x14ac:dyDescent="0.2">
      <c r="A18" s="46" t="s">
        <v>37</v>
      </c>
      <c r="U18" s="1"/>
      <c r="V18" s="1"/>
      <c r="W18" s="1"/>
    </row>
    <row r="19" spans="1:23" x14ac:dyDescent="0.2">
      <c r="U19" s="1"/>
      <c r="V19" s="1"/>
      <c r="W19" s="1"/>
    </row>
  </sheetData>
  <mergeCells count="3">
    <mergeCell ref="B2:D2"/>
    <mergeCell ref="E2:G2"/>
    <mergeCell ref="A2:A3"/>
  </mergeCells>
  <hyperlinks>
    <hyperlink ref="A18" location="Contents!A1" display="Back to contents page" xr:uid="{A3BE735D-AE2F-46FA-85BD-BCC60DA0F8DA}"/>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43"/>
  <sheetViews>
    <sheetView zoomScaleNormal="100" workbookViewId="0"/>
  </sheetViews>
  <sheetFormatPr baseColWidth="10" defaultColWidth="8.83203125" defaultRowHeight="15" x14ac:dyDescent="0.2"/>
  <cols>
    <col min="1" max="7" width="9.5" customWidth="1"/>
  </cols>
  <sheetData>
    <row r="1" spans="1:31" ht="16" x14ac:dyDescent="0.2">
      <c r="A1" s="23" t="s">
        <v>35</v>
      </c>
      <c r="L1" s="21"/>
    </row>
    <row r="2" spans="1:31" ht="30" customHeight="1" x14ac:dyDescent="0.2">
      <c r="A2" s="68" t="s">
        <v>14</v>
      </c>
      <c r="B2" s="62" t="s">
        <v>3</v>
      </c>
      <c r="C2" s="62"/>
      <c r="D2" s="62"/>
      <c r="E2" s="67" t="s">
        <v>28</v>
      </c>
      <c r="F2" s="67"/>
      <c r="G2" s="67"/>
      <c r="H2" s="67" t="s">
        <v>27</v>
      </c>
      <c r="I2" s="62"/>
      <c r="J2" s="62"/>
      <c r="L2" s="51"/>
      <c r="M2" s="51"/>
      <c r="N2" s="2"/>
      <c r="O2" s="2"/>
      <c r="P2" s="50"/>
      <c r="Q2" s="50"/>
      <c r="R2" s="50"/>
      <c r="S2" s="50"/>
      <c r="T2" s="2"/>
      <c r="U2" s="2"/>
    </row>
    <row r="3" spans="1:31" ht="14.5" customHeight="1" x14ac:dyDescent="0.2">
      <c r="A3" s="69"/>
      <c r="B3" s="41" t="s">
        <v>5</v>
      </c>
      <c r="C3" s="41" t="s">
        <v>4</v>
      </c>
      <c r="D3" s="41" t="s">
        <v>1</v>
      </c>
      <c r="E3" s="41" t="s">
        <v>5</v>
      </c>
      <c r="F3" s="41" t="s">
        <v>4</v>
      </c>
      <c r="G3" s="41" t="s">
        <v>1</v>
      </c>
      <c r="H3" s="41" t="s">
        <v>5</v>
      </c>
      <c r="I3" s="41" t="s">
        <v>4</v>
      </c>
      <c r="J3" s="41" t="s">
        <v>1</v>
      </c>
      <c r="L3" s="2"/>
      <c r="M3" s="2"/>
      <c r="N3" s="2"/>
      <c r="O3" s="2"/>
      <c r="P3" s="2"/>
      <c r="Q3" s="2"/>
      <c r="R3" s="2"/>
      <c r="S3" s="2"/>
      <c r="T3" s="2"/>
      <c r="U3" s="2"/>
    </row>
    <row r="4" spans="1:31" x14ac:dyDescent="0.2">
      <c r="A4" s="3">
        <v>2009</v>
      </c>
      <c r="B4" s="1">
        <v>2898</v>
      </c>
      <c r="C4" s="1">
        <v>5560</v>
      </c>
      <c r="D4" s="1">
        <v>8458</v>
      </c>
      <c r="E4" s="43">
        <v>30.999679036232639</v>
      </c>
      <c r="F4" s="43">
        <v>33.716707771899188</v>
      </c>
      <c r="G4" s="43">
        <v>33.182609401687607</v>
      </c>
      <c r="H4" s="43">
        <v>26.831353278836737</v>
      </c>
      <c r="I4" s="43">
        <v>51.052001789391028</v>
      </c>
      <c r="J4" s="43">
        <v>38.991956952289435</v>
      </c>
      <c r="L4" s="3"/>
      <c r="M4" s="54"/>
      <c r="N4" s="54"/>
      <c r="O4" s="53"/>
      <c r="P4" s="53"/>
      <c r="Q4" s="53"/>
      <c r="R4" s="43"/>
      <c r="S4" s="43"/>
      <c r="T4" s="43"/>
      <c r="U4" s="43"/>
      <c r="V4" s="49"/>
      <c r="W4" s="49"/>
      <c r="X4" s="49"/>
      <c r="Y4" s="49"/>
      <c r="Z4" s="49"/>
      <c r="AA4" s="49"/>
      <c r="AB4" s="49"/>
      <c r="AC4" s="49"/>
      <c r="AD4" s="49"/>
      <c r="AE4" s="1"/>
    </row>
    <row r="5" spans="1:31" x14ac:dyDescent="0.2">
      <c r="A5" s="3">
        <v>2010</v>
      </c>
      <c r="B5" s="1">
        <v>3045</v>
      </c>
      <c r="C5" s="1">
        <v>6161</v>
      </c>
      <c r="D5" s="1">
        <v>9206</v>
      </c>
      <c r="E5" s="43">
        <v>31.381993445468137</v>
      </c>
      <c r="F5" s="43">
        <v>36.087799198668293</v>
      </c>
      <c r="G5" s="43">
        <v>34.677188291526875</v>
      </c>
      <c r="H5" s="43">
        <v>27.763009842146548</v>
      </c>
      <c r="I5" s="43">
        <v>55.685512520473083</v>
      </c>
      <c r="J5" s="43">
        <v>41.785150975297014</v>
      </c>
      <c r="L5" s="3"/>
      <c r="M5" s="54"/>
      <c r="N5" s="54"/>
      <c r="O5" s="53"/>
      <c r="P5" s="53"/>
      <c r="Q5" s="53"/>
      <c r="R5" s="43"/>
      <c r="S5" s="43"/>
      <c r="T5" s="43"/>
      <c r="U5" s="43"/>
      <c r="V5" s="49"/>
      <c r="W5" s="49"/>
      <c r="X5" s="49"/>
      <c r="Y5" s="49"/>
      <c r="Z5" s="49"/>
      <c r="AA5" s="49"/>
      <c r="AB5" s="49"/>
      <c r="AC5" s="49"/>
      <c r="AD5" s="49"/>
      <c r="AE5" s="1"/>
    </row>
    <row r="6" spans="1:31" x14ac:dyDescent="0.2">
      <c r="A6" s="3">
        <v>2011</v>
      </c>
      <c r="B6" s="1">
        <v>3379</v>
      </c>
      <c r="C6" s="1">
        <v>6682</v>
      </c>
      <c r="D6" s="1">
        <v>10061</v>
      </c>
      <c r="E6" s="43">
        <v>33.339382979279677</v>
      </c>
      <c r="F6" s="43">
        <v>37.896456057546757</v>
      </c>
      <c r="G6" s="43">
        <v>36.521588819349809</v>
      </c>
      <c r="H6" s="43">
        <v>30.391517213974808</v>
      </c>
      <c r="I6" s="43">
        <v>59.544867619158801</v>
      </c>
      <c r="J6" s="43">
        <v>45.03576182371156</v>
      </c>
      <c r="L6" s="3"/>
      <c r="M6" s="54"/>
      <c r="N6" s="54"/>
      <c r="O6" s="53"/>
      <c r="P6" s="53"/>
      <c r="Q6" s="53"/>
      <c r="R6" s="43"/>
      <c r="S6" s="43"/>
      <c r="T6" s="43"/>
      <c r="U6" s="43"/>
      <c r="V6" s="49"/>
      <c r="W6" s="49"/>
      <c r="X6" s="49"/>
      <c r="Y6" s="49"/>
      <c r="Z6" s="49"/>
      <c r="AA6" s="49"/>
      <c r="AB6" s="49"/>
      <c r="AC6" s="49"/>
      <c r="AD6" s="49"/>
      <c r="AE6" s="1"/>
    </row>
    <row r="7" spans="1:31" x14ac:dyDescent="0.2">
      <c r="A7" s="3">
        <v>2012</v>
      </c>
      <c r="B7" s="1">
        <v>3550</v>
      </c>
      <c r="C7" s="1">
        <v>7060</v>
      </c>
      <c r="D7" s="1">
        <v>10610</v>
      </c>
      <c r="E7" s="43">
        <v>33.375040092497322</v>
      </c>
      <c r="F7" s="43">
        <v>38.601377015744895</v>
      </c>
      <c r="G7" s="43">
        <v>37.027819770510035</v>
      </c>
      <c r="H7" s="43">
        <v>31.379886765457623</v>
      </c>
      <c r="I7" s="43">
        <v>61.818735209692477</v>
      </c>
      <c r="J7" s="43">
        <v>46.671283941977165</v>
      </c>
      <c r="L7" s="3"/>
      <c r="M7" s="54"/>
      <c r="N7" s="54"/>
      <c r="O7" s="53"/>
      <c r="P7" s="53"/>
      <c r="Q7" s="53"/>
      <c r="R7" s="43"/>
      <c r="S7" s="43"/>
      <c r="T7" s="43"/>
      <c r="U7" s="43"/>
      <c r="V7" s="49"/>
      <c r="W7" s="49"/>
      <c r="X7" s="49"/>
      <c r="Y7" s="49"/>
      <c r="Z7" s="49"/>
      <c r="AA7" s="49"/>
      <c r="AB7" s="49"/>
      <c r="AC7" s="49"/>
      <c r="AD7" s="49"/>
      <c r="AE7" s="1"/>
    </row>
    <row r="8" spans="1:31" x14ac:dyDescent="0.2">
      <c r="A8" s="3">
        <v>2013</v>
      </c>
      <c r="B8" s="1">
        <v>3875</v>
      </c>
      <c r="C8" s="1">
        <v>7461</v>
      </c>
      <c r="D8" s="1">
        <v>11336</v>
      </c>
      <c r="E8" s="44">
        <v>35.053205479094736</v>
      </c>
      <c r="F8" s="44">
        <v>39.76895093859784</v>
      </c>
      <c r="G8" s="44">
        <v>38.343147779201203</v>
      </c>
      <c r="H8" s="44">
        <v>33.677598052869918</v>
      </c>
      <c r="I8" s="44">
        <v>64.1974110399929</v>
      </c>
      <c r="J8" s="44">
        <v>49.013908561302124</v>
      </c>
      <c r="L8" s="3"/>
      <c r="M8" s="54"/>
      <c r="N8" s="54"/>
      <c r="O8" s="53"/>
      <c r="P8" s="53"/>
      <c r="Q8" s="53"/>
      <c r="R8" s="44"/>
      <c r="S8" s="44"/>
      <c r="T8" s="44"/>
      <c r="U8" s="44"/>
      <c r="V8" s="49"/>
      <c r="W8" s="49"/>
      <c r="X8" s="49"/>
      <c r="Y8" s="49"/>
      <c r="Z8" s="49"/>
      <c r="AA8" s="49"/>
      <c r="AB8" s="49"/>
      <c r="AC8" s="49"/>
      <c r="AD8" s="49"/>
      <c r="AE8" s="1"/>
    </row>
    <row r="9" spans="1:31" x14ac:dyDescent="0.2">
      <c r="A9" s="3">
        <v>2014</v>
      </c>
      <c r="B9" s="1">
        <v>4367</v>
      </c>
      <c r="C9" s="1">
        <v>8060</v>
      </c>
      <c r="D9" s="1">
        <v>12427</v>
      </c>
      <c r="E9" s="44">
        <v>37.617255152557604</v>
      </c>
      <c r="F9" s="44">
        <v>41.80562543711595</v>
      </c>
      <c r="G9" s="44">
        <v>40.578444701123168</v>
      </c>
      <c r="H9" s="44">
        <v>37.427516861237763</v>
      </c>
      <c r="I9" s="44">
        <v>68.259963752773587</v>
      </c>
      <c r="J9" s="44">
        <v>52.935620283897137</v>
      </c>
      <c r="L9" s="3"/>
      <c r="M9" s="54"/>
      <c r="N9" s="54"/>
      <c r="O9" s="53"/>
      <c r="P9" s="53"/>
      <c r="Q9" s="53"/>
      <c r="R9" s="44"/>
      <c r="S9" s="44"/>
      <c r="T9" s="44"/>
      <c r="U9" s="44"/>
      <c r="V9" s="49"/>
      <c r="W9" s="49"/>
      <c r="X9" s="49"/>
      <c r="Y9" s="49"/>
      <c r="Z9" s="49"/>
      <c r="AA9" s="49"/>
      <c r="AB9" s="49"/>
      <c r="AC9" s="49"/>
      <c r="AD9" s="49"/>
      <c r="AE9" s="1"/>
    </row>
    <row r="10" spans="1:31" x14ac:dyDescent="0.2">
      <c r="A10" s="3">
        <v>2015</v>
      </c>
      <c r="B10" s="1">
        <v>4640</v>
      </c>
      <c r="C10" s="1">
        <v>8443</v>
      </c>
      <c r="D10" s="1">
        <v>13083</v>
      </c>
      <c r="E10" s="44">
        <v>38.38191550359074</v>
      </c>
      <c r="F10" s="44">
        <v>42.470847268687983</v>
      </c>
      <c r="G10" s="44">
        <v>41.280219103803248</v>
      </c>
      <c r="H10" s="44">
        <v>39.230102475115096</v>
      </c>
      <c r="I10" s="44">
        <v>70.426747049196038</v>
      </c>
      <c r="J10" s="44">
        <v>54.933669577945409</v>
      </c>
      <c r="K10" s="1"/>
      <c r="L10" s="3"/>
      <c r="M10" s="54"/>
      <c r="N10" s="54"/>
      <c r="O10" s="53"/>
      <c r="P10" s="53"/>
      <c r="Q10" s="53"/>
      <c r="R10" s="44"/>
      <c r="S10" s="44"/>
      <c r="T10" s="44"/>
      <c r="U10" s="44"/>
      <c r="V10" s="49"/>
      <c r="W10" s="49"/>
      <c r="X10" s="49"/>
      <c r="Y10" s="49"/>
      <c r="Z10" s="49"/>
      <c r="AA10" s="49"/>
      <c r="AB10" s="49"/>
      <c r="AC10" s="49"/>
      <c r="AD10" s="49"/>
      <c r="AE10" s="1"/>
    </row>
    <row r="11" spans="1:31" x14ac:dyDescent="0.2">
      <c r="A11" s="3">
        <v>2016</v>
      </c>
      <c r="B11" s="1">
        <v>5095</v>
      </c>
      <c r="C11" s="1">
        <v>8793</v>
      </c>
      <c r="D11" s="1">
        <v>13888</v>
      </c>
      <c r="E11" s="44">
        <v>40.330318162522232</v>
      </c>
      <c r="F11" s="44">
        <v>42.828623643268834</v>
      </c>
      <c r="G11" s="44">
        <v>42.261782581052316</v>
      </c>
      <c r="H11" s="44">
        <v>42.447583482816313</v>
      </c>
      <c r="I11" s="44">
        <v>72.145513883150031</v>
      </c>
      <c r="J11" s="44">
        <v>57.410001204171465</v>
      </c>
      <c r="L11" s="3"/>
      <c r="M11" s="54"/>
      <c r="N11" s="54"/>
      <c r="O11" s="53"/>
      <c r="P11" s="53"/>
      <c r="Q11" s="53"/>
      <c r="R11" s="44"/>
      <c r="S11" s="44"/>
      <c r="T11" s="44"/>
      <c r="U11" s="44"/>
      <c r="V11" s="49"/>
      <c r="W11" s="49"/>
      <c r="X11" s="49"/>
      <c r="Y11" s="49"/>
      <c r="Z11" s="49"/>
      <c r="AA11" s="49"/>
      <c r="AB11" s="49"/>
      <c r="AC11" s="49"/>
      <c r="AD11" s="49"/>
      <c r="AE11" s="1"/>
    </row>
    <row r="12" spans="1:31" x14ac:dyDescent="0.2">
      <c r="A12" s="3">
        <v>2017</v>
      </c>
      <c r="B12" s="1">
        <v>5306</v>
      </c>
      <c r="C12" s="1">
        <v>9234</v>
      </c>
      <c r="D12" s="1">
        <v>14540</v>
      </c>
      <c r="E12" s="44">
        <v>40.397282720390116</v>
      </c>
      <c r="F12" s="44">
        <v>43.855410463565676</v>
      </c>
      <c r="G12" s="44">
        <v>42.882071732031314</v>
      </c>
      <c r="H12" s="44">
        <v>43.47901973411588</v>
      </c>
      <c r="I12" s="44">
        <v>74.533854666732211</v>
      </c>
      <c r="J12" s="44">
        <v>59.123505017040095</v>
      </c>
      <c r="L12" s="3"/>
      <c r="M12" s="54"/>
      <c r="N12" s="54"/>
      <c r="O12" s="53"/>
      <c r="P12" s="53"/>
      <c r="Q12" s="53"/>
      <c r="R12" s="44"/>
      <c r="S12" s="44"/>
      <c r="T12" s="44"/>
      <c r="U12" s="44"/>
      <c r="V12" s="49"/>
      <c r="W12" s="49"/>
      <c r="X12" s="49"/>
      <c r="Y12" s="49"/>
      <c r="Z12" s="49"/>
      <c r="AA12" s="49"/>
      <c r="AB12" s="49"/>
      <c r="AC12" s="49"/>
      <c r="AD12" s="49"/>
      <c r="AE12" s="1"/>
    </row>
    <row r="13" spans="1:31" x14ac:dyDescent="0.2">
      <c r="A13" s="3">
        <v>2018</v>
      </c>
      <c r="B13" s="1">
        <v>5346</v>
      </c>
      <c r="C13" s="1">
        <v>9371</v>
      </c>
      <c r="D13" s="1">
        <v>14717</v>
      </c>
      <c r="E13" s="44">
        <v>39.305914265986722</v>
      </c>
      <c r="F13" s="44">
        <v>43.432101631584587</v>
      </c>
      <c r="G13" s="44">
        <v>42.138905081312771</v>
      </c>
      <c r="H13" s="44">
        <v>43.146930147573642</v>
      </c>
      <c r="I13" s="44">
        <v>74.532509528127534</v>
      </c>
      <c r="J13" s="44">
        <v>58.954644461872725</v>
      </c>
      <c r="L13" s="3"/>
      <c r="M13" s="54"/>
      <c r="N13" s="54"/>
      <c r="O13" s="53"/>
      <c r="P13" s="53"/>
      <c r="Q13" s="53"/>
      <c r="R13" s="44"/>
      <c r="S13" s="44"/>
      <c r="T13" s="44"/>
      <c r="U13" s="44"/>
      <c r="V13" s="49"/>
      <c r="W13" s="49"/>
      <c r="X13" s="49"/>
      <c r="Y13" s="49"/>
      <c r="Z13" s="49"/>
      <c r="AA13" s="49"/>
      <c r="AB13" s="49"/>
      <c r="AC13" s="49"/>
      <c r="AD13" s="49"/>
      <c r="AE13" s="1"/>
    </row>
    <row r="14" spans="1:31" x14ac:dyDescent="0.2">
      <c r="A14" s="3">
        <v>2019</v>
      </c>
      <c r="B14" s="1">
        <v>5869</v>
      </c>
      <c r="C14" s="1">
        <v>9907</v>
      </c>
      <c r="D14" s="1">
        <v>15776</v>
      </c>
      <c r="E14" s="44">
        <v>41.54874557775733</v>
      </c>
      <c r="F14" s="44">
        <v>44.772452440081132</v>
      </c>
      <c r="G14" s="44">
        <v>43.799227414534236</v>
      </c>
      <c r="H14" s="44">
        <v>46.663726430504802</v>
      </c>
      <c r="I14" s="44">
        <v>77.655641478161456</v>
      </c>
      <c r="J14" s="44">
        <v>62.270015195683605</v>
      </c>
      <c r="L14" s="3"/>
      <c r="M14" s="54"/>
      <c r="N14" s="54"/>
      <c r="O14" s="53"/>
      <c r="P14" s="53"/>
      <c r="Q14" s="53"/>
      <c r="R14" s="44"/>
      <c r="S14" s="44"/>
      <c r="T14" s="44"/>
      <c r="U14" s="44"/>
      <c r="V14" s="49"/>
      <c r="W14" s="49"/>
      <c r="X14" s="49"/>
      <c r="Y14" s="49"/>
      <c r="Z14" s="49"/>
      <c r="AA14" s="49"/>
      <c r="AB14" s="49"/>
      <c r="AC14" s="49"/>
      <c r="AD14" s="49"/>
      <c r="AE14" s="1"/>
    </row>
    <row r="15" spans="1:31" x14ac:dyDescent="0.2">
      <c r="A15" s="3">
        <v>2020</v>
      </c>
      <c r="B15" s="1">
        <v>5662</v>
      </c>
      <c r="C15" s="1">
        <v>9700</v>
      </c>
      <c r="D15" s="1">
        <v>15362</v>
      </c>
      <c r="E15" s="44">
        <v>38.364537048454707</v>
      </c>
      <c r="F15" s="44">
        <v>42.566381200895698</v>
      </c>
      <c r="G15" s="44">
        <v>41.134143437304175</v>
      </c>
      <c r="H15" s="44">
        <v>44.482367674972949</v>
      </c>
      <c r="I15" s="44">
        <v>75.073860682573084</v>
      </c>
      <c r="J15" s="44">
        <v>59.892594122057695</v>
      </c>
      <c r="L15" s="3"/>
      <c r="M15" s="54"/>
      <c r="N15" s="54"/>
      <c r="O15" s="53"/>
      <c r="P15" s="53"/>
      <c r="Q15" s="53"/>
      <c r="R15" s="44"/>
      <c r="S15" s="44"/>
      <c r="T15" s="44"/>
      <c r="U15" s="44"/>
      <c r="V15" s="49"/>
      <c r="W15" s="49"/>
      <c r="X15" s="49"/>
      <c r="Y15" s="49"/>
      <c r="Z15" s="49"/>
      <c r="AA15" s="49"/>
      <c r="AB15" s="49"/>
      <c r="AC15" s="49"/>
      <c r="AD15" s="49"/>
      <c r="AE15" s="1"/>
    </row>
    <row r="16" spans="1:31" x14ac:dyDescent="0.2">
      <c r="A16" s="3">
        <v>2021</v>
      </c>
      <c r="B16" s="1">
        <v>6082</v>
      </c>
      <c r="C16" s="1">
        <v>10589</v>
      </c>
      <c r="D16" s="1">
        <v>16671</v>
      </c>
      <c r="E16" s="44">
        <v>39.547864374440834</v>
      </c>
      <c r="F16" s="44">
        <v>45.135554792467964</v>
      </c>
      <c r="G16" s="44">
        <v>43.100606500708345</v>
      </c>
      <c r="H16" s="44">
        <v>47.704168271316085</v>
      </c>
      <c r="I16" s="44">
        <v>81.856820986886063</v>
      </c>
      <c r="J16" s="44">
        <v>64.904545817680486</v>
      </c>
      <c r="L16" s="3"/>
      <c r="M16" s="54"/>
      <c r="N16" s="54"/>
      <c r="O16" s="53"/>
      <c r="P16" s="53"/>
      <c r="Q16" s="53"/>
      <c r="R16" s="44"/>
      <c r="S16" s="44"/>
      <c r="T16" s="44"/>
      <c r="U16" s="44"/>
      <c r="V16" s="49"/>
      <c r="W16" s="49"/>
      <c r="X16" s="49"/>
      <c r="Y16" s="49"/>
      <c r="Z16" s="49"/>
      <c r="AA16" s="49"/>
      <c r="AB16" s="49"/>
      <c r="AC16" s="49"/>
      <c r="AD16" s="49"/>
      <c r="AE16" s="1"/>
    </row>
    <row r="17" spans="1:31" x14ac:dyDescent="0.2">
      <c r="A17" s="3">
        <v>2022</v>
      </c>
      <c r="B17" s="1">
        <v>6556</v>
      </c>
      <c r="C17" s="1">
        <v>11272</v>
      </c>
      <c r="D17" s="1">
        <v>17828</v>
      </c>
      <c r="E17" s="44">
        <v>41.102604385234002</v>
      </c>
      <c r="F17" s="44">
        <v>47.00710441619659</v>
      </c>
      <c r="G17" s="44">
        <v>44.858348656176759</v>
      </c>
      <c r="H17" s="44">
        <v>50.781753177287108</v>
      </c>
      <c r="I17" s="44">
        <v>86.017894957742712</v>
      </c>
      <c r="J17" s="44">
        <v>68.531277620520854</v>
      </c>
      <c r="L17" s="3"/>
      <c r="M17" s="54"/>
      <c r="N17" s="54"/>
      <c r="O17" s="53"/>
      <c r="P17" s="53"/>
      <c r="Q17" s="53"/>
      <c r="R17" s="44"/>
      <c r="S17" s="44"/>
      <c r="T17" s="44"/>
      <c r="U17" s="44"/>
      <c r="V17" s="49"/>
      <c r="W17" s="49"/>
      <c r="X17" s="49"/>
      <c r="Y17" s="49"/>
      <c r="Z17" s="49"/>
      <c r="AA17" s="49"/>
      <c r="AB17" s="49"/>
      <c r="AC17" s="49"/>
      <c r="AD17" s="49"/>
      <c r="AE17" s="1"/>
    </row>
    <row r="18" spans="1:31" x14ac:dyDescent="0.2">
      <c r="A18" s="3">
        <v>2023</v>
      </c>
      <c r="B18" s="1">
        <v>6519</v>
      </c>
      <c r="C18" s="1">
        <v>10890</v>
      </c>
      <c r="D18" s="1">
        <v>17409</v>
      </c>
      <c r="E18" s="44">
        <v>39.582045864610706</v>
      </c>
      <c r="F18" s="44">
        <v>44.918275154802096</v>
      </c>
      <c r="G18" s="44">
        <v>42.904216201126246</v>
      </c>
      <c r="H18" s="45">
        <v>49.264731998799931</v>
      </c>
      <c r="I18" s="45">
        <v>81.14641025493907</v>
      </c>
      <c r="J18" s="45">
        <v>65.317771577798439</v>
      </c>
      <c r="L18" s="3"/>
      <c r="M18" s="54"/>
      <c r="N18" s="54"/>
      <c r="O18" s="53"/>
      <c r="P18" s="53"/>
      <c r="Q18" s="53"/>
      <c r="R18" s="44"/>
      <c r="S18" s="44"/>
      <c r="T18" s="44"/>
      <c r="U18" s="44"/>
      <c r="V18" s="49"/>
      <c r="W18" s="49"/>
      <c r="X18" s="49"/>
      <c r="Y18" s="49"/>
      <c r="Z18" s="49"/>
      <c r="AA18" s="49"/>
      <c r="AB18" s="49"/>
      <c r="AC18" s="49"/>
      <c r="AD18" s="49"/>
      <c r="AE18" s="1"/>
    </row>
    <row r="19" spans="1:31" x14ac:dyDescent="0.2">
      <c r="A19" s="58" t="s">
        <v>15</v>
      </c>
      <c r="B19" s="37"/>
      <c r="C19" s="37"/>
      <c r="D19" s="37"/>
      <c r="E19" s="37"/>
      <c r="F19" s="37"/>
      <c r="G19" s="37"/>
    </row>
    <row r="20" spans="1:31" x14ac:dyDescent="0.2">
      <c r="A20" s="3" t="s">
        <v>39</v>
      </c>
      <c r="B20" s="38"/>
      <c r="C20" s="38"/>
      <c r="D20" s="38"/>
      <c r="E20" s="38"/>
      <c r="F20" s="38"/>
      <c r="G20" s="38"/>
    </row>
    <row r="21" spans="1:31" ht="15.75" customHeight="1" x14ac:dyDescent="0.2">
      <c r="A21" t="s">
        <v>22</v>
      </c>
      <c r="B21" s="38"/>
      <c r="C21" s="38"/>
      <c r="D21" s="38"/>
      <c r="E21" s="38"/>
      <c r="F21" s="38"/>
      <c r="G21" s="38"/>
    </row>
    <row r="22" spans="1:31" ht="32.25" customHeight="1" x14ac:dyDescent="0.2">
      <c r="A22" s="70" t="s">
        <v>38</v>
      </c>
      <c r="B22" s="70"/>
      <c r="C22" s="70"/>
      <c r="D22" s="70"/>
      <c r="E22" s="70"/>
      <c r="F22" s="70"/>
      <c r="G22" s="70"/>
      <c r="H22" s="70"/>
      <c r="I22" s="70"/>
      <c r="J22" s="70"/>
      <c r="K22" s="70"/>
      <c r="L22" s="70"/>
      <c r="M22" s="70"/>
      <c r="N22" s="70"/>
      <c r="O22" s="70"/>
      <c r="P22" s="70"/>
      <c r="Q22" s="70"/>
      <c r="R22" s="70"/>
      <c r="S22" s="70"/>
      <c r="T22" s="70"/>
      <c r="U22" s="70"/>
    </row>
    <row r="23" spans="1:31" x14ac:dyDescent="0.2">
      <c r="A23" t="s">
        <v>41</v>
      </c>
    </row>
    <row r="24" spans="1:31" x14ac:dyDescent="0.2">
      <c r="L24" s="1"/>
      <c r="M24" s="1"/>
      <c r="N24" s="1"/>
      <c r="O24" s="1"/>
      <c r="P24" s="1"/>
      <c r="Q24" s="1"/>
      <c r="R24" s="1"/>
      <c r="S24" s="1"/>
      <c r="T24" s="1"/>
    </row>
    <row r="25" spans="1:31" x14ac:dyDescent="0.2">
      <c r="A25" s="46" t="s">
        <v>37</v>
      </c>
      <c r="L25" s="1"/>
      <c r="M25" s="1"/>
      <c r="N25" s="1"/>
      <c r="O25" s="1"/>
      <c r="P25" s="1"/>
      <c r="Q25" s="1"/>
      <c r="R25" s="1"/>
      <c r="S25" s="1"/>
      <c r="T25" s="1"/>
    </row>
    <row r="26" spans="1:31" x14ac:dyDescent="0.2">
      <c r="A26" s="46"/>
      <c r="L26" s="1"/>
      <c r="M26" s="1"/>
      <c r="N26" s="1"/>
      <c r="O26" s="1"/>
      <c r="P26" s="1"/>
      <c r="Q26" s="1"/>
      <c r="R26" s="1"/>
      <c r="S26" s="1"/>
      <c r="T26" s="1"/>
    </row>
    <row r="27" spans="1:31" x14ac:dyDescent="0.2">
      <c r="L27" s="1"/>
      <c r="M27" s="1"/>
      <c r="N27" s="1"/>
      <c r="O27" s="1"/>
      <c r="P27" s="1"/>
      <c r="Q27" s="1"/>
      <c r="R27" s="1"/>
      <c r="S27" s="1"/>
      <c r="T27" s="1"/>
    </row>
    <row r="28" spans="1:31" x14ac:dyDescent="0.2">
      <c r="L28" s="1"/>
      <c r="M28" s="1"/>
      <c r="N28" s="1"/>
      <c r="O28" s="1"/>
      <c r="P28" s="1"/>
      <c r="Q28" s="1"/>
      <c r="R28" s="1"/>
      <c r="S28" s="1"/>
      <c r="T28" s="1"/>
    </row>
    <row r="29" spans="1:31" x14ac:dyDescent="0.2">
      <c r="L29" s="1"/>
      <c r="M29" s="1"/>
      <c r="N29" s="1"/>
      <c r="O29" s="1"/>
      <c r="P29" s="1"/>
      <c r="Q29" s="1"/>
      <c r="R29" s="1"/>
      <c r="S29" s="1"/>
      <c r="T29" s="1"/>
    </row>
    <row r="30" spans="1:31" x14ac:dyDescent="0.2">
      <c r="L30" s="1"/>
      <c r="M30" s="1"/>
      <c r="N30" s="1"/>
      <c r="O30" s="1"/>
      <c r="P30" s="1"/>
      <c r="Q30" s="1"/>
      <c r="R30" s="1"/>
      <c r="S30" s="1"/>
      <c r="T30" s="1"/>
    </row>
    <row r="31" spans="1:31" x14ac:dyDescent="0.2">
      <c r="L31" s="1"/>
      <c r="M31" s="1"/>
      <c r="N31" s="1"/>
      <c r="O31" s="1"/>
      <c r="P31" s="1"/>
      <c r="Q31" s="1"/>
      <c r="R31" s="1"/>
      <c r="S31" s="1"/>
      <c r="T31" s="1"/>
    </row>
    <row r="32" spans="1:31" x14ac:dyDescent="0.2">
      <c r="L32" s="1"/>
      <c r="M32" s="1"/>
      <c r="N32" s="1"/>
      <c r="O32" s="1"/>
      <c r="P32" s="1"/>
      <c r="Q32" s="1"/>
      <c r="R32" s="1"/>
      <c r="S32" s="1"/>
      <c r="T32" s="1"/>
    </row>
    <row r="33" spans="12:20" x14ac:dyDescent="0.2">
      <c r="L33" s="1"/>
      <c r="M33" s="1"/>
      <c r="N33" s="1"/>
      <c r="O33" s="1"/>
      <c r="P33" s="1"/>
      <c r="Q33" s="1"/>
      <c r="R33" s="1"/>
      <c r="S33" s="1"/>
      <c r="T33" s="1"/>
    </row>
    <row r="34" spans="12:20" x14ac:dyDescent="0.2">
      <c r="L34" s="1"/>
      <c r="M34" s="1"/>
      <c r="N34" s="1"/>
      <c r="O34" s="1"/>
      <c r="P34" s="1"/>
      <c r="Q34" s="1"/>
      <c r="R34" s="1"/>
      <c r="S34" s="1"/>
      <c r="T34" s="1"/>
    </row>
    <row r="35" spans="12:20" x14ac:dyDescent="0.2">
      <c r="L35" s="1"/>
      <c r="M35" s="1"/>
      <c r="N35" s="1"/>
      <c r="O35" s="1"/>
      <c r="P35" s="1"/>
      <c r="Q35" s="1"/>
      <c r="R35" s="1"/>
      <c r="S35" s="1"/>
      <c r="T35" s="1"/>
    </row>
    <row r="36" spans="12:20" x14ac:dyDescent="0.2">
      <c r="L36" s="1"/>
      <c r="M36" s="1"/>
      <c r="N36" s="1"/>
      <c r="O36" s="1"/>
      <c r="P36" s="1"/>
      <c r="Q36" s="1"/>
      <c r="R36" s="1"/>
      <c r="S36" s="1"/>
      <c r="T36" s="1"/>
    </row>
    <row r="37" spans="12:20" x14ac:dyDescent="0.2">
      <c r="L37" s="1"/>
      <c r="M37" s="1"/>
      <c r="N37" s="1"/>
      <c r="O37" s="1"/>
      <c r="P37" s="1"/>
      <c r="Q37" s="1"/>
      <c r="R37" s="1"/>
      <c r="S37" s="1"/>
      <c r="T37" s="1"/>
    </row>
    <row r="38" spans="12:20" x14ac:dyDescent="0.2">
      <c r="L38" s="1"/>
      <c r="M38" s="1"/>
      <c r="N38" s="1"/>
      <c r="O38" s="1"/>
      <c r="P38" s="1"/>
      <c r="Q38" s="1"/>
      <c r="R38" s="1"/>
      <c r="S38" s="1"/>
      <c r="T38" s="1"/>
    </row>
    <row r="39" spans="12:20" x14ac:dyDescent="0.2">
      <c r="L39" s="1"/>
      <c r="M39" s="1"/>
      <c r="N39" s="1"/>
      <c r="O39" s="1"/>
      <c r="P39" s="1"/>
      <c r="Q39" s="1"/>
      <c r="R39" s="1"/>
      <c r="S39" s="1"/>
      <c r="T39" s="1"/>
    </row>
    <row r="40" spans="12:20" x14ac:dyDescent="0.2">
      <c r="L40" s="1"/>
      <c r="M40" s="1"/>
      <c r="N40" s="1"/>
      <c r="O40" s="1"/>
      <c r="P40" s="1"/>
      <c r="Q40" s="1"/>
      <c r="R40" s="1"/>
      <c r="S40" s="1"/>
      <c r="T40" s="1"/>
    </row>
    <row r="41" spans="12:20" x14ac:dyDescent="0.2">
      <c r="L41" s="1"/>
      <c r="M41" s="1"/>
      <c r="N41" s="1"/>
      <c r="O41" s="1"/>
      <c r="P41" s="1"/>
      <c r="Q41" s="1"/>
      <c r="R41" s="1"/>
      <c r="S41" s="1"/>
      <c r="T41" s="1"/>
    </row>
    <row r="42" spans="12:20" x14ac:dyDescent="0.2">
      <c r="L42" s="1"/>
      <c r="M42" s="1"/>
      <c r="N42" s="1"/>
      <c r="O42" s="1"/>
      <c r="P42" s="1"/>
      <c r="Q42" s="1"/>
      <c r="R42" s="1"/>
      <c r="S42" s="1"/>
      <c r="T42" s="1"/>
    </row>
    <row r="43" spans="12:20" x14ac:dyDescent="0.2">
      <c r="L43" s="1"/>
      <c r="M43" s="1"/>
      <c r="N43" s="1"/>
      <c r="O43" s="1"/>
      <c r="P43" s="1"/>
      <c r="Q43" s="1"/>
      <c r="R43" s="1"/>
      <c r="S43" s="1"/>
      <c r="T43" s="1"/>
    </row>
  </sheetData>
  <mergeCells count="5">
    <mergeCell ref="B2:D2"/>
    <mergeCell ref="E2:G2"/>
    <mergeCell ref="A2:A3"/>
    <mergeCell ref="H2:J2"/>
    <mergeCell ref="A22:U22"/>
  </mergeCells>
  <hyperlinks>
    <hyperlink ref="A25" location="Contents!A1" display="Back to contents page" xr:uid="{C13063C9-DC0C-438D-BC01-E80FF5EE90A5}"/>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acfdfa7e-238e-49af-913a-b8791cd4736d">
      <Value>1</Value>
    </AIHW_PPR_ProjectCategoryLookup>
  </documentManagement>
</p:properti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6CBCD5A370A1DB47BF624D28629D6BEE" ma:contentTypeVersion="1" ma:contentTypeDescription="AIHW Project Document" ma:contentTypeScope="" ma:versionID="3063d816580368ebd2d901324795a608">
  <xsd:schema xmlns:xsd="http://www.w3.org/2001/XMLSchema" xmlns:xs="http://www.w3.org/2001/XMLSchema" xmlns:p="http://schemas.microsoft.com/office/2006/metadata/properties" xmlns:ns2="acfdfa7e-238e-49af-913a-b8791cd4736d" targetNamespace="http://schemas.microsoft.com/office/2006/metadata/properties" ma:root="true" ma:fieldsID="40cce4b24ccf6edd0b6ee5c7c49e0305" ns2:_="">
    <xsd:import namespace="acfdfa7e-238e-49af-913a-b8791cd4736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dfa7e-238e-49af-913a-b8791cd4736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03ce94-ec67-4e6b-bd2a-a939ad580cf9}" ma:internalName="AIHW_PPR_ProjectCategoryLookup" ma:showField="Title" ma:web="{acfdfa7e-238e-49af-913a-b8791cd47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438D62-42B8-4CEA-93AC-88A0B391FE82}">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acfdfa7e-238e-49af-913a-b8791cd4736d"/>
    <ds:schemaRef ds:uri="http://www.w3.org/XML/1998/namespace"/>
  </ds:schemaRefs>
</ds:datastoreItem>
</file>

<file path=customXml/itemProps2.xml><?xml version="1.0" encoding="utf-8"?>
<ds:datastoreItem xmlns:ds="http://schemas.openxmlformats.org/officeDocument/2006/customXml" ds:itemID="{87544CE7-0B52-462E-8690-FD6ECDF9C4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dfa7e-238e-49af-913a-b8791cd473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3243E1-6D45-4770-8C35-D3FC415B34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S3.1</vt:lpstr>
      <vt:lpstr>S3.2</vt:lpstr>
      <vt:lpstr>S3.3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Dementia in Australia, deaths due to dementia – data tables</dc:title>
  <dc:creator/>
  <cp:lastModifiedBy/>
  <dcterms:created xsi:type="dcterms:W3CDTF">2025-08-26T05:40:46Z</dcterms:created>
  <dcterms:modified xsi:type="dcterms:W3CDTF">2026-04-15T01:47:44Z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13300</vt:r8>
  </property>
  <property fmtid="{D5CDD505-2E9C-101B-9397-08002B2CF9AE}" pid="3" name="URL">
    <vt:lpwstr/>
  </property>
  <property fmtid="{D5CDD505-2E9C-101B-9397-08002B2CF9AE}" pid="4" name="xd_ProgID">
    <vt:lpwstr/>
  </property>
  <property fmtid="{D5CDD505-2E9C-101B-9397-08002B2CF9AE}" pid="5" name="DocumentSetDescription">
    <vt:lpwstr/>
  </property>
  <property fmtid="{D5CDD505-2E9C-101B-9397-08002B2CF9AE}" pid="6" name="_CopySource">
    <vt:lpwstr>http://projects.aihw.gov.au/PRJ02441/Web Content/RM 2023/Tranche 1/Data tables/aihw-DiA-S3-mortality.xlsx</vt:lpwstr>
  </property>
  <property fmtid="{D5CDD505-2E9C-101B-9397-08002B2CF9AE}" pid="7" name="ContentTypeId">
    <vt:lpwstr>0x010100B4A1F787F0C441AC878A307E051D262E006CBCD5A370A1DB47BF624D28629D6BEE</vt:lpwstr>
  </property>
  <property fmtid="{D5CDD505-2E9C-101B-9397-08002B2CF9AE}" pid="8" name="TemplateUrl">
    <vt:lpwstr/>
  </property>
</Properties>
</file>