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E43080C5-DE69-449D-A584-1E201D225447}" xr6:coauthVersionLast="47" xr6:coauthVersionMax="47" xr10:uidLastSave="{00000000-0000-0000-0000-000000000000}"/>
  <bookViews>
    <workbookView xWindow="-110" yWindow="-110" windowWidth="19420" windowHeight="11500" xr2:uid="{00000000-000D-0000-FFFF-FFFF00000000}"/>
  </bookViews>
  <sheets>
    <sheet name="Contents" sheetId="41" r:id="rId1"/>
    <sheet name="S4.1" sheetId="14" r:id="rId2"/>
    <sheet name="S4.2" sheetId="32" r:id="rId3"/>
    <sheet name="S4.3" sheetId="43" r:id="rId4"/>
    <sheet name="S4.4" sheetId="42" r:id="rId5"/>
    <sheet name="S4.5" sheetId="34" r:id="rId6"/>
    <sheet name="S4.6" sheetId="37" r:id="rId7"/>
    <sheet name="S4.7" sheetId="39" r:id="rId8"/>
    <sheet name="S4.8" sheetId="4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41" l="1"/>
  <c r="B15" i="41"/>
  <c r="B14" i="41"/>
  <c r="B13" i="41"/>
  <c r="B12" i="41"/>
  <c r="B11" i="41"/>
  <c r="B10" i="41"/>
  <c r="B9" i="41"/>
</calcChain>
</file>

<file path=xl/sharedStrings.xml><?xml version="1.0" encoding="utf-8"?>
<sst xmlns="http://schemas.openxmlformats.org/spreadsheetml/2006/main" count="936" uniqueCount="163">
  <si>
    <t>Sex</t>
  </si>
  <si>
    <t>Persons</t>
  </si>
  <si>
    <t>Age group (years)</t>
  </si>
  <si>
    <t>Total</t>
  </si>
  <si>
    <t>Year</t>
  </si>
  <si>
    <t>Remoteness area</t>
  </si>
  <si>
    <t>Socioeconomic area (quintile)</t>
  </si>
  <si>
    <t>Dementia</t>
  </si>
  <si>
    <t>Coronary heart disease</t>
  </si>
  <si>
    <t>Lung cancer</t>
  </si>
  <si>
    <t>COPD</t>
  </si>
  <si>
    <t>Stroke</t>
  </si>
  <si>
    <t>Prostate cancer</t>
  </si>
  <si>
    <t>Type 2 diabetes mellitus</t>
  </si>
  <si>
    <t>Hearing loss</t>
  </si>
  <si>
    <t>Atrial fibrillation and flutter</t>
  </si>
  <si>
    <t>Bowel cancer</t>
  </si>
  <si>
    <t>Under 30</t>
  </si>
  <si>
    <t xml:space="preserve">30–64   </t>
  </si>
  <si>
    <t xml:space="preserve">65–69   </t>
  </si>
  <si>
    <t xml:space="preserve">70–74   </t>
  </si>
  <si>
    <t xml:space="preserve">75–79   </t>
  </si>
  <si>
    <t xml:space="preserve">80–84   </t>
  </si>
  <si>
    <t xml:space="preserve">85–89   </t>
  </si>
  <si>
    <t xml:space="preserve">90–94   </t>
  </si>
  <si>
    <t xml:space="preserve">95–99   </t>
  </si>
  <si>
    <t xml:space="preserve">100+    </t>
  </si>
  <si>
    <t>Back pain and problems</t>
  </si>
  <si>
    <t>Anxiety disorders</t>
  </si>
  <si>
    <t>Depressive disorders</t>
  </si>
  <si>
    <t>Breast cancer</t>
  </si>
  <si>
    <t>Asthma</t>
  </si>
  <si>
    <t>Osteoarthritis</t>
  </si>
  <si>
    <t>Rheumatoid arthritis</t>
  </si>
  <si>
    <t>Falls</t>
  </si>
  <si>
    <t>Chronic kidney disease</t>
  </si>
  <si>
    <t>Non-rheumatic valvular disease</t>
  </si>
  <si>
    <t>Poisoning</t>
  </si>
  <si>
    <t>Alcohol use disorders</t>
  </si>
  <si>
    <t>Chronic liver disease</t>
  </si>
  <si>
    <t>1st</t>
  </si>
  <si>
    <t>2nd</t>
  </si>
  <si>
    <t>3rd</t>
  </si>
  <si>
    <t>4th</t>
  </si>
  <si>
    <t>5th</t>
  </si>
  <si>
    <t>6th</t>
  </si>
  <si>
    <t>7th</t>
  </si>
  <si>
    <t>8th</t>
  </si>
  <si>
    <t>9th</t>
  </si>
  <si>
    <t>10th</t>
  </si>
  <si>
    <t>Rank (by total burden of disease)</t>
  </si>
  <si>
    <t>Measure</t>
  </si>
  <si>
    <t>Disease</t>
  </si>
  <si>
    <t>DALY</t>
  </si>
  <si>
    <t>65–69</t>
  </si>
  <si>
    <t>70–74</t>
  </si>
  <si>
    <t>75–79</t>
  </si>
  <si>
    <t>80–84</t>
  </si>
  <si>
    <t>85–89</t>
  </si>
  <si>
    <t>DALY per 1,000 population</t>
  </si>
  <si>
    <t>90–94</t>
  </si>
  <si>
    <t>95–99</t>
  </si>
  <si>
    <t>100+</t>
  </si>
  <si>
    <t>30–64</t>
  </si>
  <si>
    <t>YLD</t>
  </si>
  <si>
    <t>YLL</t>
  </si>
  <si>
    <t>NSW</t>
  </si>
  <si>
    <t>WA</t>
  </si>
  <si>
    <t>SA</t>
  </si>
  <si>
    <t>ACT</t>
  </si>
  <si>
    <t>NT</t>
  </si>
  <si>
    <t>Australia</t>
  </si>
  <si>
    <t>Overall</t>
  </si>
  <si>
    <t>Geography category</t>
  </si>
  <si>
    <t>Geography</t>
  </si>
  <si>
    <t>Risk factor</t>
  </si>
  <si>
    <t>High blood plasma glucose</t>
  </si>
  <si>
    <t>Impaired kidney function</t>
  </si>
  <si>
    <t>Overweight &amp; obesity</t>
  </si>
  <si>
    <t>Physical inactivity</t>
  </si>
  <si>
    <t>Tobacco use</t>
  </si>
  <si>
    <t>Socioeconomic group</t>
  </si>
  <si>
    <t>All risk factors</t>
  </si>
  <si>
    <t>Years of life lost (YLL)</t>
  </si>
  <si>
    <t>YLL per 1,000 population</t>
  </si>
  <si>
    <t>Years lived with disability (YLD)</t>
  </si>
  <si>
    <t>YLD per 1,000 population</t>
  </si>
  <si>
    <t>Disability Adjusted Life Years (DALY)</t>
  </si>
  <si>
    <t>Contents</t>
  </si>
  <si>
    <t>Notes</t>
  </si>
  <si>
    <t>Symbols</t>
  </si>
  <si>
    <t>n.p.</t>
  </si>
  <si>
    <t>Not published</t>
  </si>
  <si>
    <t>Source</t>
  </si>
  <si>
    <t>Suggested Citation</t>
  </si>
  <si>
    <t>Australian Burden of Disease Database</t>
  </si>
  <si>
    <t>Abbreviations</t>
  </si>
  <si>
    <t>Years lived with disability</t>
  </si>
  <si>
    <t>Years of life lost</t>
  </si>
  <si>
    <t>1. COPD refers to Chronic obstructive pulmonary disease.</t>
  </si>
  <si>
    <t>Suicide and self-inflicted injuries</t>
  </si>
  <si>
    <t>High blood pressure in mid-life</t>
  </si>
  <si>
    <t>Age (years)</t>
  </si>
  <si>
    <t>Number</t>
  </si>
  <si>
    <t>Table S4.8: Dementia burden attributable to specific risk factors in 2018 by socioeconomic group and sex: age-standardised YLL, YLD and DALY per 1,000 people</t>
  </si>
  <si>
    <t xml:space="preserve">Refer to Technical notes for information on the data source, classifications and methodology for this analysis. </t>
  </si>
  <si>
    <t>YLD (%)</t>
  </si>
  <si>
    <t>YLL (%)</t>
  </si>
  <si>
    <t>DALY (%)</t>
  </si>
  <si>
    <t>Autism spectrum disorders</t>
  </si>
  <si>
    <t>Drug use disorders (excluding alcohol)</t>
  </si>
  <si>
    <t>Road traffic injuries - motor vehicle occupants</t>
  </si>
  <si>
    <t>Pre-term birth and low birth weight  complications</t>
  </si>
  <si>
    <t>COVID-19</t>
  </si>
  <si>
    <t>Parkinson disease</t>
  </si>
  <si>
    <t>Eating disorders</t>
  </si>
  <si>
    <t>Polycystic ovarian syndrome</t>
  </si>
  <si>
    <t>Bipolar affective disorder</t>
  </si>
  <si>
    <t>Disability-adjusted life years</t>
  </si>
  <si>
    <t>Source: AIHW Australian Burden of Disease Database</t>
  </si>
  <si>
    <t xml:space="preserve">1. Due to rounding, estimates for persons may not equal the sum of male and female estimates. </t>
  </si>
  <si>
    <t xml:space="preserve">Notes: Due to rounding, estimates for persons may not equal the sum of male and female estimates. </t>
  </si>
  <si>
    <t>Per cent (%)</t>
  </si>
  <si>
    <r>
      <t xml:space="preserve">Source: </t>
    </r>
    <r>
      <rPr>
        <sz val="11"/>
        <color theme="1"/>
        <rFont val="Calibri"/>
        <family val="2"/>
        <scheme val="minor"/>
      </rPr>
      <t>AIHW Australian Burden of Disease Database</t>
    </r>
  </si>
  <si>
    <t>2. Rates were age-standardised to the 2001 Australian Standard Population and are expressed as per 1,000 population.</t>
  </si>
  <si>
    <t>© Australian Institute of Health and Welfare 2024</t>
  </si>
  <si>
    <t>Dementia in Australia, Burden of Disease – data tables</t>
  </si>
  <si>
    <t>Table S4.1: Leading 10 causes of disease burden (DALY) in Australia in 2024: by sex and age</t>
  </si>
  <si>
    <t>Lower respiratory infections incl influenza and pneumonia</t>
  </si>
  <si>
    <t>Epilepsy</t>
  </si>
  <si>
    <t>Hypertensive heart disease</t>
  </si>
  <si>
    <t>Australian Institute of Health and Welfare 2025. Dementia in Australia Cat no. DEM 2 Canberra: AIHW.</t>
  </si>
  <si>
    <t>Table S4.2: Dementia burden in Australia in 2011, 2015, 2018 and 2024 by sex and age: number (YLL, YLD, DALY) and age specific rate (YLL, YLD and DALY per 1,000 people)</t>
  </si>
  <si>
    <t>Table S4.3: Dementia burden in Australia in 2011, 2015, 2018 and 2024: number and percent of DALY contribution from YLL and YLD</t>
  </si>
  <si>
    <t>Table S4.4: Dementia burden in Australia in 2011, 2015, 2018 and 2024, by sex: age-standardised YLL, YLD and DALY per 1,000 people</t>
  </si>
  <si>
    <t>1. Rates were age-standardised to the 2001 Australian Standard Population and are expressed as per 1,000 population.</t>
  </si>
  <si>
    <t>Table S4.6: Dementia burden in Australia attributable to specific risk factors in 2011, 2015, 2018 and 2024 by sex: percentage of DALY, YLL or YLD</t>
  </si>
  <si>
    <t>Table S4.7: Dementia burden attributable to specific risk factors in 2011, 2015, 2018 and 2024 by age and sex: YLL, YLD and DALY</t>
  </si>
  <si>
    <t>45–54</t>
  </si>
  <si>
    <t>55–64</t>
  </si>
  <si>
    <t>65–84</t>
  </si>
  <si>
    <t>85+</t>
  </si>
  <si>
    <t>Migraine</t>
  </si>
  <si>
    <t>Pancreatic cancer</t>
  </si>
  <si>
    <t>2. Lower respiratory infections include influenza and pneumonia.</t>
  </si>
  <si>
    <t>3. Conditions that were grouped into residual categories in the Australian Burden of Disease Study 2024 (such as 'Other musculoskeletal conditions') are not included in the rankings.</t>
  </si>
  <si>
    <t xml:space="preserve">4. Due to rounding, estimates for persons may not equal the sum of male and female estimates. </t>
  </si>
  <si>
    <t xml:space="preserve">Notes: </t>
  </si>
  <si>
    <t>2. Estimates were calculated from the Australian Burden of Disease 2018 study and figures for "Overall" may not match updated values on previous tables which were calculated using the Australian Burden of Disease 2024 study.</t>
  </si>
  <si>
    <t>Back to contents page</t>
  </si>
  <si>
    <t>Vic</t>
  </si>
  <si>
    <t>Qld</t>
  </si>
  <si>
    <t>Tas</t>
  </si>
  <si>
    <t>Major cities</t>
  </si>
  <si>
    <t>Inner regional</t>
  </si>
  <si>
    <t>Outer regional</t>
  </si>
  <si>
    <t>Remote and Very remote</t>
  </si>
  <si>
    <t>1 - Lowest</t>
  </si>
  <si>
    <t>5 - Highest</t>
  </si>
  <si>
    <t>Table S4.5: Dementia burden in 2011, 2015 and 2018 by geographic and socioeconomic areas of usual residence and sex: age-standardised rate of DALY, YLL and YLD per 1,000 people</t>
  </si>
  <si>
    <t>State or territory of usual residence</t>
  </si>
  <si>
    <t>Men</t>
  </si>
  <si>
    <t>Women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</si>
</sst>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_-* #,##0.0_-;\-* #,##0.0_-;_-* &quot;-&quot;??_-;_-@_-"/>
    <numFmt numFmtId="167" formatCode="0.000"/>
    <numFmt numFmtId="168" formatCode="#,##0_ ;\-#,##0\ "/>
  </numFmts>
  <fonts count="29" x14ac:knownFonts="1">
    <font>
      <sz val="11"/>
      <color theme="1"/>
      <name val="Calibri"/>
      <family val="2"/>
      <scheme val="minor"/>
    </font>
    <font>
      <b/>
      <sz val="16"/>
      <color theme="1"/>
      <name val="Calibri"/>
      <family val="2"/>
    </font>
    <font>
      <b/>
      <sz val="12"/>
      <color theme="1"/>
      <name val="Calibri"/>
      <family val="2"/>
    </font>
    <font>
      <sz val="12"/>
      <color theme="1"/>
      <name val="Calibri"/>
      <family val="2"/>
    </font>
    <font>
      <b/>
      <sz val="12"/>
      <color theme="1"/>
      <name val="Calibri"/>
      <family val="2"/>
      <scheme val="minor"/>
    </font>
    <font>
      <u/>
      <sz val="11"/>
      <color theme="10"/>
      <name val="Calibri"/>
      <family val="2"/>
      <scheme val="minor"/>
    </font>
    <font>
      <b/>
      <sz val="10"/>
      <color theme="1"/>
      <name val="Book Antiqua"/>
      <family val="1"/>
    </font>
    <font>
      <sz val="12"/>
      <name val="Calibri"/>
      <family val="2"/>
      <scheme val="minor"/>
    </font>
    <font>
      <i/>
      <sz val="11"/>
      <color theme="1"/>
      <name val="Calibri"/>
      <family val="2"/>
      <scheme val="minor"/>
    </font>
    <font>
      <sz val="11"/>
      <color rgb="FF000000"/>
      <name val="Calibri"/>
      <family val="2"/>
      <scheme val="minor"/>
    </font>
    <font>
      <sz val="11"/>
      <color theme="1"/>
      <name val="Calibri"/>
      <family val="2"/>
      <scheme val="minor"/>
    </font>
    <font>
      <sz val="10"/>
      <color theme="1"/>
      <name val="Arial"/>
      <family val="2"/>
    </font>
    <font>
      <u/>
      <sz val="9"/>
      <color indexed="12"/>
      <name val="Arial"/>
      <family val="2"/>
    </font>
    <font>
      <sz val="11"/>
      <color theme="1"/>
      <name val="Arial"/>
      <family val="2"/>
    </font>
    <font>
      <sz val="12"/>
      <color theme="1"/>
      <name val="Calibri"/>
      <family val="2"/>
      <scheme val="minor"/>
    </font>
    <font>
      <sz val="9"/>
      <color theme="1"/>
      <name val="Calibri"/>
      <family val="2"/>
      <scheme val="minor"/>
    </font>
    <font>
      <sz val="9"/>
      <name val="Calibri"/>
      <family val="2"/>
      <scheme val="minor"/>
    </font>
    <font>
      <sz val="10"/>
      <color theme="1"/>
      <name val="Calibri"/>
      <family val="2"/>
      <scheme val="minor"/>
    </font>
    <font>
      <sz val="11"/>
      <color indexed="8"/>
      <name val="Calibri"/>
      <family val="2"/>
      <scheme val="minor"/>
    </font>
    <font>
      <sz val="9"/>
      <color theme="1"/>
      <name val="Arial"/>
      <family val="2"/>
    </font>
    <font>
      <sz val="9"/>
      <name val="Arial"/>
      <family val="2"/>
    </font>
    <font>
      <u/>
      <sz val="8"/>
      <color indexed="12"/>
      <name val="Arial"/>
      <family val="2"/>
    </font>
    <font>
      <u/>
      <sz val="11"/>
      <color theme="10"/>
      <name val="Arial"/>
      <family val="2"/>
    </font>
    <font>
      <sz val="11"/>
      <color indexed="8"/>
      <name val="Arial"/>
      <family val="2"/>
    </font>
    <font>
      <sz val="11"/>
      <color theme="1"/>
      <name val="Calibri"/>
      <family val="2"/>
    </font>
    <font>
      <sz val="11"/>
      <name val="Calibri"/>
      <family val="2"/>
    </font>
    <font>
      <sz val="11"/>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indexed="65"/>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6">
    <xf numFmtId="0" fontId="0" fillId="0" borderId="0"/>
    <xf numFmtId="0" fontId="5" fillId="0" borderId="0" applyNumberFormat="0" applyFill="0" applyBorder="0" applyAlignment="0" applyProtection="0"/>
    <xf numFmtId="49" fontId="6" fillId="2" borderId="0" applyNumberFormat="0" applyFill="0" applyBorder="0" applyAlignment="0" applyProtection="0">
      <alignment horizontal="right"/>
    </xf>
    <xf numFmtId="43" fontId="10" fillId="0" borderId="0" applyFont="0" applyFill="0" applyBorder="0" applyAlignment="0" applyProtection="0"/>
    <xf numFmtId="0" fontId="12" fillId="0" borderId="0" applyNumberFormat="0" applyFill="0" applyBorder="0" applyAlignment="0" applyProtection="0">
      <alignment vertical="top"/>
      <protection locked="0"/>
    </xf>
    <xf numFmtId="0" fontId="10" fillId="0" borderId="0"/>
  </cellStyleXfs>
  <cellXfs count="144">
    <xf numFmtId="0" fontId="0" fillId="0" borderId="0" xfId="0"/>
    <xf numFmtId="0" fontId="4" fillId="0" borderId="0" xfId="0" applyFont="1"/>
    <xf numFmtId="0" fontId="8" fillId="0" borderId="0" xfId="0" applyFont="1"/>
    <xf numFmtId="0" fontId="8" fillId="0" borderId="0" xfId="0" applyFont="1" applyAlignment="1">
      <alignment wrapText="1"/>
    </xf>
    <xf numFmtId="0" fontId="0" fillId="0" borderId="0" xfId="0" applyAlignment="1">
      <alignment wrapText="1"/>
    </xf>
    <xf numFmtId="0" fontId="4" fillId="0" borderId="0" xfId="0" applyFont="1" applyAlignment="1">
      <alignment horizontal="left"/>
    </xf>
    <xf numFmtId="0" fontId="0" fillId="0" borderId="0" xfId="0" applyAlignment="1">
      <alignment horizontal="left" wrapText="1"/>
    </xf>
    <xf numFmtId="0" fontId="0" fillId="0" borderId="0" xfId="0" applyAlignment="1">
      <alignment horizontal="left"/>
    </xf>
    <xf numFmtId="0" fontId="1" fillId="3" borderId="0" xfId="0" applyFont="1" applyFill="1"/>
    <xf numFmtId="0" fontId="2" fillId="3" borderId="0" xfId="0" applyFont="1" applyFill="1"/>
    <xf numFmtId="0" fontId="3" fillId="3" borderId="0" xfId="0" applyFont="1" applyFill="1"/>
    <xf numFmtId="0" fontId="4" fillId="3" borderId="0" xfId="0" applyFont="1" applyFill="1"/>
    <xf numFmtId="0" fontId="3" fillId="3" borderId="0" xfId="0" applyFont="1" applyFill="1" applyAlignment="1">
      <alignment wrapText="1"/>
    </xf>
    <xf numFmtId="0" fontId="11" fillId="3" borderId="0" xfId="0" applyFont="1" applyFill="1"/>
    <xf numFmtId="0" fontId="12" fillId="3" borderId="0" xfId="4" applyFill="1" applyBorder="1" applyAlignment="1" applyProtection="1">
      <alignment horizontal="center" vertical="center"/>
    </xf>
    <xf numFmtId="0" fontId="13" fillId="3" borderId="0" xfId="0" applyFont="1" applyFill="1"/>
    <xf numFmtId="0" fontId="7" fillId="3" borderId="0" xfId="0" applyFont="1" applyFill="1" applyAlignment="1">
      <alignment vertical="center" wrapText="1"/>
    </xf>
    <xf numFmtId="0" fontId="14" fillId="3" borderId="0" xfId="5" applyFont="1" applyFill="1"/>
    <xf numFmtId="0" fontId="14" fillId="3" borderId="0" xfId="0" applyFont="1" applyFill="1"/>
    <xf numFmtId="0" fontId="15" fillId="3" borderId="0" xfId="0" applyFont="1" applyFill="1" applyAlignment="1">
      <alignment vertical="center"/>
    </xf>
    <xf numFmtId="0" fontId="16" fillId="3" borderId="0" xfId="0" applyFont="1" applyFill="1" applyAlignment="1">
      <alignment vertical="center" wrapText="1"/>
    </xf>
    <xf numFmtId="0" fontId="0" fillId="3" borderId="0" xfId="5" applyFont="1" applyFill="1"/>
    <xf numFmtId="0" fontId="0" fillId="3" borderId="0" xfId="0" applyFill="1"/>
    <xf numFmtId="0" fontId="17" fillId="3" borderId="0" xfId="0" applyFont="1" applyFill="1"/>
    <xf numFmtId="0" fontId="15" fillId="3" borderId="0" xfId="0" applyFont="1" applyFill="1"/>
    <xf numFmtId="0" fontId="16" fillId="3" borderId="0" xfId="0" applyFont="1" applyFill="1" applyAlignment="1">
      <alignment horizontal="left" vertical="top" wrapText="1" indent="1"/>
    </xf>
    <xf numFmtId="0" fontId="18" fillId="3" borderId="0" xfId="5" applyFont="1" applyFill="1"/>
    <xf numFmtId="0" fontId="19" fillId="3" borderId="0" xfId="0" applyFont="1" applyFill="1"/>
    <xf numFmtId="0" fontId="20" fillId="3" borderId="0" xfId="0" applyFont="1" applyFill="1" applyAlignment="1">
      <alignment horizontal="left" vertical="top" wrapText="1" indent="1"/>
    </xf>
    <xf numFmtId="0" fontId="21" fillId="3" borderId="0" xfId="4" applyFont="1" applyFill="1" applyAlignment="1" applyProtection="1">
      <alignment horizontal="left"/>
    </xf>
    <xf numFmtId="0" fontId="22" fillId="3" borderId="0" xfId="1" applyFont="1" applyFill="1" applyBorder="1" applyAlignment="1" applyProtection="1">
      <alignment horizontal="left"/>
    </xf>
    <xf numFmtId="0" fontId="23" fillId="3" borderId="0" xfId="5" applyFont="1" applyFill="1"/>
    <xf numFmtId="166" fontId="0" fillId="0" borderId="3" xfId="3" applyNumberFormat="1" applyFont="1" applyBorder="1"/>
    <xf numFmtId="166" fontId="0" fillId="0" borderId="0" xfId="3" applyNumberFormat="1" applyFont="1" applyBorder="1"/>
    <xf numFmtId="166" fontId="0" fillId="0" borderId="1" xfId="3" applyNumberFormat="1" applyFont="1" applyBorder="1"/>
    <xf numFmtId="164" fontId="0" fillId="0" borderId="3" xfId="3" applyNumberFormat="1" applyFont="1" applyBorder="1"/>
    <xf numFmtId="164" fontId="0" fillId="0" borderId="0" xfId="3" applyNumberFormat="1" applyFont="1" applyBorder="1"/>
    <xf numFmtId="164" fontId="0" fillId="0" borderId="1" xfId="3" applyNumberFormat="1" applyFont="1" applyBorder="1"/>
    <xf numFmtId="0" fontId="3" fillId="3" borderId="0" xfId="0" quotePrefix="1" applyFont="1" applyFill="1"/>
    <xf numFmtId="2" fontId="10" fillId="3" borderId="0" xfId="0" applyNumberFormat="1" applyFont="1" applyFill="1"/>
    <xf numFmtId="0" fontId="24" fillId="3" borderId="0" xfId="0" applyFont="1" applyFill="1"/>
    <xf numFmtId="0" fontId="10" fillId="3" borderId="0" xfId="0" applyFont="1" applyFill="1" applyAlignment="1">
      <alignment vertical="center"/>
    </xf>
    <xf numFmtId="0" fontId="26" fillId="3" borderId="0" xfId="0" applyFont="1" applyFill="1" applyAlignment="1">
      <alignment vertical="center" wrapText="1"/>
    </xf>
    <xf numFmtId="0" fontId="10" fillId="3" borderId="0" xfId="0" applyFont="1" applyFill="1"/>
    <xf numFmtId="0" fontId="25" fillId="3" borderId="0" xfId="0" applyFont="1" applyFill="1"/>
    <xf numFmtId="0" fontId="5" fillId="3" borderId="0" xfId="1" applyFill="1"/>
    <xf numFmtId="0" fontId="5" fillId="3" borderId="0" xfId="1" applyFill="1" applyBorder="1"/>
    <xf numFmtId="0" fontId="5" fillId="0" borderId="0" xfId="1" applyBorder="1" applyAlignment="1">
      <alignment horizontal="left"/>
    </xf>
    <xf numFmtId="0" fontId="5" fillId="0" borderId="0" xfId="1" applyBorder="1"/>
    <xf numFmtId="0" fontId="27" fillId="0" borderId="0" xfId="0" applyFont="1" applyAlignment="1">
      <alignment wrapText="1"/>
    </xf>
    <xf numFmtId="0" fontId="28" fillId="0" borderId="2" xfId="0" applyFont="1" applyBorder="1" applyAlignment="1">
      <alignment horizontal="right" wrapText="1"/>
    </xf>
    <xf numFmtId="2" fontId="0" fillId="0" borderId="0" xfId="0" applyNumberFormat="1"/>
    <xf numFmtId="2" fontId="0" fillId="0" borderId="1" xfId="0" applyNumberFormat="1" applyBorder="1"/>
    <xf numFmtId="0" fontId="26" fillId="0" borderId="0" xfId="0" applyFont="1" applyAlignment="1">
      <alignment wrapText="1"/>
    </xf>
    <xf numFmtId="0" fontId="26" fillId="0" borderId="1" xfId="0" applyFont="1" applyBorder="1" applyAlignment="1">
      <alignment wrapText="1"/>
    </xf>
    <xf numFmtId="0" fontId="28" fillId="0" borderId="3" xfId="0" applyFont="1" applyBorder="1" applyAlignment="1">
      <alignment horizontal="right" wrapText="1"/>
    </xf>
    <xf numFmtId="0" fontId="26" fillId="0" borderId="3" xfId="0" applyFont="1" applyBorder="1" applyAlignment="1">
      <alignment horizontal="left" wrapText="1"/>
    </xf>
    <xf numFmtId="0" fontId="26" fillId="0" borderId="0" xfId="0" applyFont="1" applyAlignment="1">
      <alignment horizontal="left" wrapText="1"/>
    </xf>
    <xf numFmtId="0" fontId="26" fillId="0" borderId="1" xfId="0" applyFont="1" applyBorder="1" applyAlignment="1">
      <alignment horizontal="left" wrapText="1"/>
    </xf>
    <xf numFmtId="0" fontId="0" fillId="0" borderId="1" xfId="0" applyBorder="1"/>
    <xf numFmtId="0" fontId="26" fillId="0" borderId="3" xfId="0" applyFont="1" applyBorder="1" applyAlignment="1">
      <alignment wrapText="1"/>
    </xf>
    <xf numFmtId="165" fontId="0" fillId="0" borderId="3" xfId="0" applyNumberFormat="1" applyBorder="1"/>
    <xf numFmtId="165" fontId="0" fillId="0" borderId="0" xfId="0" applyNumberFormat="1"/>
    <xf numFmtId="165" fontId="0" fillId="0" borderId="0" xfId="0" quotePrefix="1" applyNumberFormat="1"/>
    <xf numFmtId="165" fontId="0" fillId="0" borderId="1" xfId="0" applyNumberFormat="1" applyBorder="1"/>
    <xf numFmtId="1" fontId="28" fillId="0" borderId="2" xfId="0" applyNumberFormat="1" applyFont="1" applyBorder="1" applyAlignment="1">
      <alignment horizontal="right" wrapText="1"/>
    </xf>
    <xf numFmtId="0" fontId="8" fillId="0" borderId="0" xfId="0" applyFont="1" applyAlignment="1">
      <alignment horizontal="left"/>
    </xf>
    <xf numFmtId="0" fontId="28" fillId="0" borderId="2" xfId="0" applyFont="1" applyBorder="1" applyAlignment="1">
      <alignment horizontal="left"/>
    </xf>
    <xf numFmtId="0" fontId="28" fillId="0" borderId="2" xfId="0" applyFont="1" applyBorder="1" applyAlignment="1">
      <alignment wrapText="1"/>
    </xf>
    <xf numFmtId="166" fontId="27" fillId="0" borderId="0" xfId="3" applyNumberFormat="1" applyFont="1" applyBorder="1"/>
    <xf numFmtId="3" fontId="0" fillId="0" borderId="0" xfId="0" applyNumberFormat="1"/>
    <xf numFmtId="3" fontId="0" fillId="0" borderId="1" xfId="0" applyNumberFormat="1" applyBorder="1"/>
    <xf numFmtId="43" fontId="0" fillId="0" borderId="0" xfId="0" applyNumberFormat="1"/>
    <xf numFmtId="2" fontId="9" fillId="0" borderId="0" xfId="3" applyNumberFormat="1" applyFont="1" applyFill="1" applyBorder="1" applyAlignment="1">
      <alignment horizontal="right"/>
    </xf>
    <xf numFmtId="2" fontId="0" fillId="0" borderId="0" xfId="3" applyNumberFormat="1" applyFont="1" applyFill="1" applyBorder="1"/>
    <xf numFmtId="165" fontId="28" fillId="0" borderId="2" xfId="0" applyNumberFormat="1" applyFont="1" applyBorder="1" applyAlignment="1">
      <alignment horizontal="right" wrapText="1"/>
    </xf>
    <xf numFmtId="165" fontId="0" fillId="0" borderId="0" xfId="3" applyNumberFormat="1" applyFont="1" applyFill="1" applyBorder="1" applyAlignment="1">
      <alignment horizontal="right"/>
    </xf>
    <xf numFmtId="165" fontId="0" fillId="0" borderId="0" xfId="3" applyNumberFormat="1" applyFont="1" applyFill="1" applyBorder="1"/>
    <xf numFmtId="165" fontId="0" fillId="0" borderId="1" xfId="3" applyNumberFormat="1" applyFont="1" applyBorder="1"/>
    <xf numFmtId="165" fontId="0" fillId="0" borderId="0" xfId="3" applyNumberFormat="1" applyFont="1" applyBorder="1"/>
    <xf numFmtId="3" fontId="28" fillId="0" borderId="2" xfId="0" applyNumberFormat="1" applyFont="1" applyBorder="1" applyAlignment="1">
      <alignment horizontal="right" wrapText="1"/>
    </xf>
    <xf numFmtId="3" fontId="0" fillId="0" borderId="0" xfId="3" applyNumberFormat="1" applyFont="1" applyFill="1" applyBorder="1" applyAlignment="1">
      <alignment horizontal="right"/>
    </xf>
    <xf numFmtId="3" fontId="9" fillId="0" borderId="0" xfId="3" applyNumberFormat="1" applyFont="1" applyFill="1" applyBorder="1" applyAlignment="1">
      <alignment horizontal="right"/>
    </xf>
    <xf numFmtId="3" fontId="26" fillId="0" borderId="0" xfId="0" applyNumberFormat="1" applyFont="1" applyAlignment="1">
      <alignment wrapText="1"/>
    </xf>
    <xf numFmtId="165" fontId="9" fillId="0" borderId="0" xfId="3" applyNumberFormat="1" applyFont="1" applyFill="1" applyBorder="1" applyAlignment="1">
      <alignment horizontal="right"/>
    </xf>
    <xf numFmtId="3" fontId="0" fillId="0" borderId="0" xfId="3" applyNumberFormat="1" applyFont="1" applyFill="1" applyBorder="1"/>
    <xf numFmtId="3" fontId="9" fillId="0" borderId="0" xfId="3" applyNumberFormat="1" applyFont="1" applyBorder="1" applyAlignment="1">
      <alignment horizontal="right"/>
    </xf>
    <xf numFmtId="3" fontId="9" fillId="0" borderId="1" xfId="3" applyNumberFormat="1" applyFont="1" applyBorder="1" applyAlignment="1">
      <alignment horizontal="right"/>
    </xf>
    <xf numFmtId="165" fontId="9" fillId="0" borderId="0" xfId="3" applyNumberFormat="1" applyFont="1" applyBorder="1" applyAlignment="1">
      <alignment horizontal="right"/>
    </xf>
    <xf numFmtId="165" fontId="9" fillId="0" borderId="1" xfId="3" applyNumberFormat="1" applyFont="1" applyBorder="1" applyAlignment="1">
      <alignment horizontal="right"/>
    </xf>
    <xf numFmtId="3" fontId="0" fillId="0" borderId="0" xfId="3" applyNumberFormat="1" applyFont="1" applyBorder="1"/>
    <xf numFmtId="3" fontId="0" fillId="0" borderId="1" xfId="3" applyNumberFormat="1" applyFont="1" applyBorder="1"/>
    <xf numFmtId="165" fontId="0" fillId="0" borderId="1" xfId="3" applyNumberFormat="1" applyFont="1" applyBorder="1" applyAlignment="1"/>
    <xf numFmtId="2" fontId="0" fillId="0" borderId="0" xfId="3" applyNumberFormat="1" applyFont="1" applyFill="1" applyBorder="1" applyAlignment="1">
      <alignment horizontal="right"/>
    </xf>
    <xf numFmtId="4" fontId="0" fillId="0" borderId="0" xfId="3" applyNumberFormat="1" applyFont="1" applyFill="1" applyBorder="1" applyAlignment="1">
      <alignment horizontal="right"/>
    </xf>
    <xf numFmtId="3" fontId="0" fillId="0" borderId="0" xfId="0" applyNumberFormat="1" applyAlignment="1">
      <alignment horizontal="right"/>
    </xf>
    <xf numFmtId="3" fontId="0" fillId="0" borderId="0" xfId="3" applyNumberFormat="1" applyFont="1" applyBorder="1" applyAlignment="1">
      <alignment horizontal="right"/>
    </xf>
    <xf numFmtId="1" fontId="0" fillId="0" borderId="0" xfId="3" applyNumberFormat="1" applyFont="1" applyFill="1" applyBorder="1"/>
    <xf numFmtId="1" fontId="0" fillId="0" borderId="0" xfId="3" applyNumberFormat="1" applyFont="1" applyFill="1" applyBorder="1" applyAlignment="1">
      <alignment horizontal="right"/>
    </xf>
    <xf numFmtId="0" fontId="26" fillId="0" borderId="0" xfId="0" applyFont="1" applyAlignment="1">
      <alignment horizontal="left"/>
    </xf>
    <xf numFmtId="3" fontId="0" fillId="0" borderId="0" xfId="3" applyNumberFormat="1" applyFont="1"/>
    <xf numFmtId="3" fontId="26" fillId="0" borderId="0" xfId="3" applyNumberFormat="1" applyFont="1" applyBorder="1"/>
    <xf numFmtId="168" fontId="27" fillId="0" borderId="3" xfId="3" applyNumberFormat="1" applyFont="1" applyBorder="1"/>
    <xf numFmtId="168" fontId="27" fillId="0" borderId="0" xfId="3" applyNumberFormat="1" applyFont="1" applyBorder="1"/>
    <xf numFmtId="168" fontId="27" fillId="0" borderId="1" xfId="3" applyNumberFormat="1" applyFont="1" applyBorder="1"/>
    <xf numFmtId="0" fontId="28" fillId="0" borderId="0" xfId="0" applyFont="1" applyAlignment="1">
      <alignment horizontal="right" wrapText="1"/>
    </xf>
    <xf numFmtId="0" fontId="28" fillId="0" borderId="1" xfId="0" applyFont="1" applyBorder="1" applyAlignment="1">
      <alignment horizontal="right" wrapText="1"/>
    </xf>
    <xf numFmtId="165" fontId="26" fillId="0" borderId="0" xfId="0" applyNumberFormat="1" applyFont="1" applyAlignment="1">
      <alignment horizontal="right" wrapText="1"/>
    </xf>
    <xf numFmtId="165" fontId="26" fillId="0" borderId="1" xfId="0" applyNumberFormat="1" applyFont="1" applyBorder="1" applyAlignment="1">
      <alignment horizontal="right" wrapText="1"/>
    </xf>
    <xf numFmtId="165" fontId="0" fillId="0" borderId="0" xfId="3" applyNumberFormat="1" applyFont="1" applyBorder="1" applyAlignment="1"/>
    <xf numFmtId="167" fontId="0" fillId="0" borderId="0" xfId="0" applyNumberFormat="1"/>
    <xf numFmtId="165" fontId="26" fillId="0" borderId="0" xfId="0" applyNumberFormat="1" applyFont="1" applyAlignment="1">
      <alignment horizontal="left" wrapText="1"/>
    </xf>
    <xf numFmtId="165" fontId="0" fillId="0" borderId="1" xfId="3" applyNumberFormat="1" applyFont="1" applyFill="1" applyBorder="1" applyAlignment="1">
      <alignment horizontal="right"/>
    </xf>
    <xf numFmtId="0" fontId="4" fillId="0" borderId="1" xfId="0" applyFont="1" applyBorder="1"/>
    <xf numFmtId="0" fontId="5" fillId="0" borderId="0" xfId="1"/>
    <xf numFmtId="0" fontId="28" fillId="0" borderId="3" xfId="0" applyFont="1" applyBorder="1" applyAlignment="1">
      <alignment horizontal="center" wrapText="1"/>
    </xf>
    <xf numFmtId="165" fontId="28" fillId="0" borderId="0" xfId="0" applyNumberFormat="1" applyFont="1" applyAlignment="1">
      <alignment horizontal="right" wrapText="1"/>
    </xf>
    <xf numFmtId="0" fontId="27" fillId="0" borderId="3" xfId="0" applyFont="1" applyBorder="1" applyAlignment="1">
      <alignment horizontal="center"/>
    </xf>
    <xf numFmtId="0" fontId="27" fillId="0" borderId="0" xfId="0" applyFont="1" applyAlignment="1">
      <alignment horizontal="center"/>
    </xf>
    <xf numFmtId="1" fontId="28" fillId="0" borderId="0" xfId="0" applyNumberFormat="1" applyFont="1" applyAlignment="1">
      <alignment horizontal="right" wrapText="1"/>
    </xf>
    <xf numFmtId="0" fontId="0" fillId="0" borderId="0" xfId="0" applyAlignment="1">
      <alignment horizontal="left"/>
    </xf>
    <xf numFmtId="0" fontId="28" fillId="0" borderId="2" xfId="0" applyFont="1" applyBorder="1" applyAlignment="1">
      <alignment horizontal="center" wrapText="1"/>
    </xf>
    <xf numFmtId="165" fontId="0" fillId="0" borderId="0" xfId="0" applyNumberFormat="1" applyAlignment="1">
      <alignment horizontal="left"/>
    </xf>
    <xf numFmtId="0" fontId="28" fillId="0" borderId="3" xfId="0" applyFont="1" applyBorder="1" applyAlignment="1">
      <alignment horizontal="left" wrapText="1"/>
    </xf>
    <xf numFmtId="0" fontId="28" fillId="0" borderId="1" xfId="0" applyFont="1" applyBorder="1" applyAlignment="1">
      <alignment horizontal="left" wrapText="1"/>
    </xf>
    <xf numFmtId="0" fontId="28" fillId="0" borderId="3" xfId="0" applyFont="1" applyBorder="1" applyAlignment="1">
      <alignment horizontal="left"/>
    </xf>
    <xf numFmtId="0" fontId="28" fillId="0" borderId="1" xfId="0" applyFont="1" applyBorder="1" applyAlignment="1">
      <alignment horizontal="left"/>
    </xf>
    <xf numFmtId="0" fontId="26" fillId="0" borderId="3" xfId="0" applyFont="1" applyBorder="1" applyAlignment="1">
      <alignment horizontal="center" vertical="center"/>
    </xf>
    <xf numFmtId="0" fontId="26" fillId="0" borderId="0" xfId="0" applyFont="1" applyAlignment="1">
      <alignment horizontal="center" vertical="center"/>
    </xf>
    <xf numFmtId="165" fontId="26" fillId="0" borderId="3" xfId="0" applyNumberFormat="1" applyFont="1" applyBorder="1" applyAlignment="1">
      <alignment horizontal="left" wrapText="1"/>
    </xf>
    <xf numFmtId="165" fontId="26" fillId="0" borderId="0" xfId="0" applyNumberFormat="1" applyFont="1" applyAlignment="1">
      <alignment horizontal="left" wrapText="1"/>
    </xf>
    <xf numFmtId="0" fontId="26" fillId="0" borderId="1" xfId="0" applyFont="1" applyBorder="1" applyAlignment="1">
      <alignment horizontal="center" vertical="center"/>
    </xf>
    <xf numFmtId="0" fontId="0" fillId="0" borderId="1" xfId="0" applyBorder="1" applyAlignment="1">
      <alignment horizontal="left"/>
    </xf>
    <xf numFmtId="0" fontId="27" fillId="0" borderId="2" xfId="0" applyFont="1" applyBorder="1" applyAlignment="1">
      <alignment horizontal="center"/>
    </xf>
    <xf numFmtId="0" fontId="26" fillId="0" borderId="3" xfId="0" applyFont="1" applyBorder="1" applyAlignment="1">
      <alignment horizontal="left" vertical="center"/>
    </xf>
    <xf numFmtId="0" fontId="26" fillId="0" borderId="0" xfId="0" applyFont="1" applyAlignment="1">
      <alignment horizontal="left" vertical="center"/>
    </xf>
    <xf numFmtId="0" fontId="26" fillId="0" borderId="1" xfId="0" applyFont="1" applyBorder="1" applyAlignment="1">
      <alignment horizontal="left" vertical="center"/>
    </xf>
    <xf numFmtId="0" fontId="27" fillId="0" borderId="2" xfId="0" applyFont="1" applyBorder="1" applyAlignment="1">
      <alignment horizontal="center" wrapText="1"/>
    </xf>
    <xf numFmtId="0" fontId="28" fillId="0" borderId="0" xfId="0" applyFont="1" applyAlignment="1">
      <alignment horizontal="left" wrapText="1"/>
    </xf>
    <xf numFmtId="0" fontId="26" fillId="0" borderId="0" xfId="0" applyFont="1" applyAlignment="1">
      <alignment horizontal="left" vertical="center" wrapText="1"/>
    </xf>
    <xf numFmtId="0" fontId="0" fillId="0" borderId="0" xfId="0" applyAlignment="1">
      <alignment horizontal="left" vertical="center"/>
    </xf>
    <xf numFmtId="0" fontId="0" fillId="0" borderId="1" xfId="0" applyBorder="1" applyAlignment="1">
      <alignment horizontal="left" vertical="center"/>
    </xf>
    <xf numFmtId="0" fontId="26" fillId="0" borderId="1" xfId="0" applyFont="1" applyBorder="1" applyAlignment="1">
      <alignment horizontal="left" vertical="center" wrapText="1"/>
    </xf>
    <xf numFmtId="0" fontId="0" fillId="0" borderId="3" xfId="0" applyBorder="1" applyAlignment="1">
      <alignment horizontal="left" vertical="center"/>
    </xf>
  </cellXfs>
  <cellStyles count="6">
    <cellStyle name="AIHW Caption" xfId="2" xr:uid="{00000000-0005-0000-0000-000000000000}"/>
    <cellStyle name="Comma" xfId="3" builtinId="3"/>
    <cellStyle name="Hyperlink" xfId="1" builtinId="8"/>
    <cellStyle name="Hyperlink 11" xfId="4" xr:uid="{00000000-0005-0000-0000-000003000000}"/>
    <cellStyle name="Normal" xfId="0" builtinId="0"/>
    <cellStyle name="Normal 2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2</xdr:col>
      <xdr:colOff>2743200</xdr:colOff>
      <xdr:row>3</xdr:row>
      <xdr:rowOff>104775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1885950</xdr:colOff>
      <xdr:row>34</xdr:row>
      <xdr:rowOff>0</xdr:rowOff>
    </xdr:from>
    <xdr:to>
      <xdr:col>2</xdr:col>
      <xdr:colOff>2476500</xdr:colOff>
      <xdr:row>35</xdr:row>
      <xdr:rowOff>0</xdr:rowOff>
    </xdr:to>
    <xdr:pic>
      <xdr:nvPicPr>
        <xdr:cNvPr id="3" name="Picture 7" descr="H:\Exchange\Temp\CC.jp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90800" y="5981700"/>
          <a:ext cx="5905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ihw.gov.au/copyrigh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K36"/>
  <sheetViews>
    <sheetView tabSelected="1" workbookViewId="0"/>
  </sheetViews>
  <sheetFormatPr defaultColWidth="9.1796875" defaultRowHeight="15.5" x14ac:dyDescent="0.35"/>
  <cols>
    <col min="1" max="1" width="2.81640625" style="10" customWidth="1"/>
    <col min="2" max="2" width="7.7265625" style="10" customWidth="1"/>
    <col min="3" max="3" width="89.7265625" style="10" bestFit="1" customWidth="1"/>
    <col min="4" max="16384" width="9.1796875" style="10"/>
  </cols>
  <sheetData>
    <row r="6" spans="2:11" ht="32.25" customHeight="1" x14ac:dyDescent="0.5">
      <c r="B6" s="8" t="s">
        <v>126</v>
      </c>
      <c r="C6" s="9"/>
      <c r="D6" s="9"/>
      <c r="E6" s="9"/>
    </row>
    <row r="8" spans="2:11" x14ac:dyDescent="0.35">
      <c r="B8" s="11" t="s">
        <v>88</v>
      </c>
    </row>
    <row r="9" spans="2:11" x14ac:dyDescent="0.35">
      <c r="B9" s="45" t="str">
        <f>'S4.1'!A1</f>
        <v>Table S4.1: Leading 10 causes of disease burden (DALY) in Australia in 2024: by sex and age</v>
      </c>
      <c r="K9" s="38"/>
    </row>
    <row r="10" spans="2:11" x14ac:dyDescent="0.35">
      <c r="B10" s="46" t="str">
        <f>'S4.2'!A1</f>
        <v>Table S4.2: Dementia burden in Australia in 2011, 2015, 2018 and 2024 by sex and age: number (YLL, YLD, DALY) and age specific rate (YLL, YLD and DALY per 1,000 people)</v>
      </c>
      <c r="K10" s="38"/>
    </row>
    <row r="11" spans="2:11" x14ac:dyDescent="0.35">
      <c r="B11" s="47" t="str">
        <f>'S4.3'!A1</f>
        <v>Table S4.3: Dementia burden in Australia in 2011, 2015, 2018 and 2024: number and percent of DALY contribution from YLL and YLD</v>
      </c>
      <c r="K11" s="38"/>
    </row>
    <row r="12" spans="2:11" x14ac:dyDescent="0.35">
      <c r="B12" s="46" t="str">
        <f>'S4.4'!A1</f>
        <v>Table S4.4: Dementia burden in Australia in 2011, 2015, 2018 and 2024, by sex: age-standardised YLL, YLD and DALY per 1,000 people</v>
      </c>
      <c r="K12" s="38"/>
    </row>
    <row r="13" spans="2:11" x14ac:dyDescent="0.35">
      <c r="B13" s="46" t="str">
        <f>'S4.5'!A1</f>
        <v>Table S4.5: Dementia burden in 2011, 2015 and 2018 by geographic and socioeconomic areas of usual residence and sex: age-standardised rate of DALY, YLL and YLD per 1,000 people</v>
      </c>
      <c r="K13" s="38"/>
    </row>
    <row r="14" spans="2:11" x14ac:dyDescent="0.35">
      <c r="B14" s="46" t="str">
        <f>'S4.6'!A1</f>
        <v>Table S4.6: Dementia burden in Australia attributable to specific risk factors in 2011, 2015, 2018 and 2024 by sex: percentage of DALY, YLL or YLD</v>
      </c>
      <c r="K14" s="38"/>
    </row>
    <row r="15" spans="2:11" x14ac:dyDescent="0.35">
      <c r="B15" s="46" t="str">
        <f>'S4.7'!A1</f>
        <v>Table S4.7: Dementia burden attributable to specific risk factors in 2011, 2015, 2018 and 2024 by age and sex: YLL, YLD and DALY</v>
      </c>
      <c r="K15" s="38"/>
    </row>
    <row r="16" spans="2:11" x14ac:dyDescent="0.35">
      <c r="B16" s="48" t="str">
        <f>'S4.8'!A1</f>
        <v>Table S4.8: Dementia burden attributable to specific risk factors in 2018 by socioeconomic group and sex: age-standardised YLL, YLD and DALY per 1,000 people</v>
      </c>
      <c r="K16" s="38"/>
    </row>
    <row r="18" spans="2:5" x14ac:dyDescent="0.35">
      <c r="B18" s="11" t="s">
        <v>89</v>
      </c>
    </row>
    <row r="19" spans="2:5" ht="16.5" customHeight="1" x14ac:dyDescent="0.35">
      <c r="B19" s="44" t="s">
        <v>105</v>
      </c>
      <c r="C19" s="40"/>
    </row>
    <row r="20" spans="2:5" x14ac:dyDescent="0.35">
      <c r="B20" s="12"/>
    </row>
    <row r="21" spans="2:5" x14ac:dyDescent="0.35">
      <c r="B21" s="11" t="s">
        <v>96</v>
      </c>
    </row>
    <row r="22" spans="2:5" x14ac:dyDescent="0.35">
      <c r="B22" s="39" t="s">
        <v>53</v>
      </c>
      <c r="C22" s="40" t="s">
        <v>118</v>
      </c>
    </row>
    <row r="23" spans="2:5" x14ac:dyDescent="0.35">
      <c r="B23" s="39" t="s">
        <v>64</v>
      </c>
      <c r="C23" s="40" t="s">
        <v>97</v>
      </c>
    </row>
    <row r="24" spans="2:5" x14ac:dyDescent="0.35">
      <c r="B24" s="39" t="s">
        <v>65</v>
      </c>
      <c r="C24" s="40" t="s">
        <v>98</v>
      </c>
    </row>
    <row r="25" spans="2:5" x14ac:dyDescent="0.35">
      <c r="B25" s="12"/>
    </row>
    <row r="26" spans="2:5" s="15" customFormat="1" x14ac:dyDescent="0.35">
      <c r="B26" s="11" t="s">
        <v>90</v>
      </c>
      <c r="C26" s="13"/>
      <c r="D26" s="14"/>
    </row>
    <row r="27" spans="2:5" s="18" customFormat="1" x14ac:dyDescent="0.35">
      <c r="B27" s="41" t="s">
        <v>91</v>
      </c>
      <c r="C27" s="42" t="s">
        <v>92</v>
      </c>
      <c r="D27" s="17"/>
      <c r="E27" s="17"/>
    </row>
    <row r="28" spans="2:5" s="22" customFormat="1" ht="14.5" x14ac:dyDescent="0.35">
      <c r="B28" s="19"/>
      <c r="C28" s="20"/>
      <c r="D28" s="21"/>
      <c r="E28" s="21"/>
    </row>
    <row r="29" spans="2:5" s="22" customFormat="1" x14ac:dyDescent="0.35">
      <c r="B29" s="11" t="s">
        <v>93</v>
      </c>
      <c r="C29" s="23"/>
      <c r="D29" s="23"/>
    </row>
    <row r="30" spans="2:5" s="18" customFormat="1" x14ac:dyDescent="0.35">
      <c r="B30" s="43" t="s">
        <v>95</v>
      </c>
      <c r="C30" s="16"/>
      <c r="D30" s="16"/>
    </row>
    <row r="31" spans="2:5" s="22" customFormat="1" ht="14.5" x14ac:dyDescent="0.35">
      <c r="B31" s="24"/>
      <c r="C31" s="25"/>
      <c r="D31" s="26"/>
    </row>
    <row r="32" spans="2:5" s="22" customFormat="1" x14ac:dyDescent="0.35">
      <c r="B32" s="11" t="s">
        <v>94</v>
      </c>
      <c r="C32" s="23"/>
      <c r="D32" s="23"/>
    </row>
    <row r="33" spans="2:4" s="18" customFormat="1" x14ac:dyDescent="0.35">
      <c r="B33" s="43" t="s">
        <v>131</v>
      </c>
      <c r="C33" s="16"/>
      <c r="D33" s="16"/>
    </row>
    <row r="34" spans="2:4" s="15" customFormat="1" ht="14" x14ac:dyDescent="0.3">
      <c r="B34" s="27"/>
      <c r="C34" s="28"/>
      <c r="D34" s="28"/>
    </row>
    <row r="35" spans="2:4" s="31" customFormat="1" ht="9" customHeight="1" x14ac:dyDescent="0.3">
      <c r="B35" s="29" t="s">
        <v>125</v>
      </c>
      <c r="C35" s="30"/>
    </row>
    <row r="36" spans="2:4" s="22" customFormat="1" ht="14.5" x14ac:dyDescent="0.35">
      <c r="B36" s="27"/>
      <c r="C36" s="28"/>
      <c r="D36" s="28"/>
    </row>
  </sheetData>
  <hyperlinks>
    <hyperlink ref="B35" r:id="rId1" display="http://www.aihw.gov.au/copyright/" xr:uid="{00000000-0004-0000-0000-000000000000}"/>
    <hyperlink ref="B9" location="S4.1!A1" display="Table S4.1: Leading 10 causes of disease burden in Australia in 2018: by sex and age" xr:uid="{00000000-0004-0000-0000-000001000000}"/>
    <hyperlink ref="B10" location="S4.2!A1" display="Table S4.2: Dementia burden in Australia in 2018 by sex and age: number (YLL, YLD, DALY) and age specific rate (YLL, YLD and DALY per 1,000 people)" xr:uid="{00000000-0004-0000-0000-000002000000}"/>
    <hyperlink ref="B12" location="S4.4!A1" display="Table S4.4: Dementia burden in Australia in 2011, 2015 and 2018: age-standardised YLL, YLD and DALY per 1,000 people" xr:uid="{00000000-0004-0000-0000-000003000000}"/>
    <hyperlink ref="B13" location="S4.5!A1" display="Table S4.5: Dementia burden in 2018 by geographic and socioeconomic areas and sex: DALY, YLL and YLD per 1,000 people" xr:uid="{00000000-0004-0000-0000-000004000000}"/>
    <hyperlink ref="B14" location="S4.6!A1" display="Table S4.6: Dementia burden in Australia attributable to specific risk factors in 2011, 2015 and 2018 by sex: percentage of DALY, YLL or YLD" xr:uid="{00000000-0004-0000-0000-000005000000}"/>
    <hyperlink ref="B15" location="S4.7!A1" display="Table S4.7: Dementia burden attributable to specific risk factors in 2011, 2015 and 2018 by age and sex: YLL, YLD and DALY" xr:uid="{00000000-0004-0000-0000-000006000000}"/>
    <hyperlink ref="B16" location="S4.8!A1" display="Table S4.8: Dementia burden attributable to specific risk factors in 2018 by socioeconomic group and sex: age-standardised YLL, YLD and DALY per 1,000 people" xr:uid="{00000000-0004-0000-0000-000007000000}"/>
    <hyperlink ref="B11" location="S4.3!A1" display="Table S4.3: Dementia burden in Australia in 2011, 2015 and 2018, by sex: number and percent of DALY contribution from YLL and YLD" xr:uid="{00000000-0004-0000-0000-000008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
  <sheetViews>
    <sheetView zoomScaleNormal="100" workbookViewId="0"/>
  </sheetViews>
  <sheetFormatPr defaultColWidth="9.1796875" defaultRowHeight="14.5" x14ac:dyDescent="0.35"/>
  <cols>
    <col min="1" max="1" width="8.54296875" customWidth="1"/>
    <col min="2" max="2" width="12.54296875" style="4" customWidth="1"/>
    <col min="3" max="3" width="18.26953125" style="4" customWidth="1"/>
    <col min="4" max="13" width="29.7265625" customWidth="1"/>
  </cols>
  <sheetData>
    <row r="1" spans="1:13" ht="15.5" x14ac:dyDescent="0.35">
      <c r="A1" s="1" t="s">
        <v>127</v>
      </c>
      <c r="B1" s="49"/>
      <c r="C1" s="49"/>
    </row>
    <row r="2" spans="1:13" ht="15" customHeight="1" x14ac:dyDescent="0.35">
      <c r="A2" s="125" t="s">
        <v>0</v>
      </c>
      <c r="B2" s="123" t="s">
        <v>102</v>
      </c>
      <c r="C2" s="123" t="s">
        <v>51</v>
      </c>
      <c r="D2" s="121" t="s">
        <v>50</v>
      </c>
      <c r="E2" s="121"/>
      <c r="F2" s="121"/>
      <c r="G2" s="121"/>
      <c r="H2" s="121"/>
      <c r="I2" s="121"/>
      <c r="J2" s="121"/>
      <c r="K2" s="121"/>
      <c r="L2" s="121"/>
      <c r="M2" s="121"/>
    </row>
    <row r="3" spans="1:13" x14ac:dyDescent="0.35">
      <c r="A3" s="126"/>
      <c r="B3" s="124"/>
      <c r="C3" s="124"/>
      <c r="D3" s="50" t="s">
        <v>40</v>
      </c>
      <c r="E3" s="50" t="s">
        <v>41</v>
      </c>
      <c r="F3" s="50" t="s">
        <v>42</v>
      </c>
      <c r="G3" s="50" t="s">
        <v>43</v>
      </c>
      <c r="H3" s="50" t="s">
        <v>44</v>
      </c>
      <c r="I3" s="50" t="s">
        <v>45</v>
      </c>
      <c r="J3" s="50" t="s">
        <v>46</v>
      </c>
      <c r="K3" s="50" t="s">
        <v>47</v>
      </c>
      <c r="L3" s="50" t="s">
        <v>48</v>
      </c>
      <c r="M3" s="50" t="s">
        <v>49</v>
      </c>
    </row>
    <row r="4" spans="1:13" x14ac:dyDescent="0.35">
      <c r="A4" s="127" t="s">
        <v>161</v>
      </c>
      <c r="B4" s="129" t="s">
        <v>17</v>
      </c>
      <c r="C4" s="111" t="s">
        <v>52</v>
      </c>
      <c r="D4" s="62" t="s">
        <v>28</v>
      </c>
      <c r="E4" t="s">
        <v>100</v>
      </c>
      <c r="F4" t="s">
        <v>109</v>
      </c>
      <c r="G4" t="s">
        <v>31</v>
      </c>
      <c r="H4" t="s">
        <v>29</v>
      </c>
      <c r="I4" t="s">
        <v>27</v>
      </c>
      <c r="J4" t="s">
        <v>38</v>
      </c>
      <c r="K4" t="s">
        <v>112</v>
      </c>
      <c r="L4" t="s">
        <v>110</v>
      </c>
      <c r="M4" t="s">
        <v>111</v>
      </c>
    </row>
    <row r="5" spans="1:13" x14ac:dyDescent="0.35">
      <c r="A5" s="128"/>
      <c r="B5" s="130"/>
      <c r="C5" s="111" t="s">
        <v>53</v>
      </c>
      <c r="D5" s="62">
        <v>39451</v>
      </c>
      <c r="E5">
        <v>38721</v>
      </c>
      <c r="F5">
        <v>28240</v>
      </c>
      <c r="G5">
        <v>26292</v>
      </c>
      <c r="H5">
        <v>25699</v>
      </c>
      <c r="I5">
        <v>16402</v>
      </c>
      <c r="J5">
        <v>15340</v>
      </c>
      <c r="K5">
        <v>14045</v>
      </c>
      <c r="L5">
        <v>12798</v>
      </c>
      <c r="M5">
        <v>12294</v>
      </c>
    </row>
    <row r="6" spans="1:13" ht="15" customHeight="1" x14ac:dyDescent="0.35">
      <c r="A6" s="128"/>
      <c r="B6" s="122" t="s">
        <v>18</v>
      </c>
      <c r="C6" s="62" t="s">
        <v>52</v>
      </c>
      <c r="D6" s="62" t="s">
        <v>27</v>
      </c>
      <c r="E6" t="s">
        <v>100</v>
      </c>
      <c r="F6" t="s">
        <v>8</v>
      </c>
      <c r="G6" t="s">
        <v>29</v>
      </c>
      <c r="H6" t="s">
        <v>28</v>
      </c>
      <c r="I6" t="s">
        <v>37</v>
      </c>
      <c r="J6" t="s">
        <v>109</v>
      </c>
      <c r="K6" t="s">
        <v>39</v>
      </c>
      <c r="L6" t="s">
        <v>38</v>
      </c>
      <c r="M6" t="s">
        <v>9</v>
      </c>
    </row>
    <row r="7" spans="1:13" s="51" customFormat="1" ht="15" customHeight="1" x14ac:dyDescent="0.35">
      <c r="A7" s="128"/>
      <c r="B7" s="120"/>
      <c r="C7" s="51" t="s">
        <v>53</v>
      </c>
      <c r="D7">
        <v>74545</v>
      </c>
      <c r="E7">
        <v>73106</v>
      </c>
      <c r="F7">
        <v>71449</v>
      </c>
      <c r="G7">
        <v>43297</v>
      </c>
      <c r="H7">
        <v>40888</v>
      </c>
      <c r="I7">
        <v>36722</v>
      </c>
      <c r="J7">
        <v>35999</v>
      </c>
      <c r="K7">
        <v>32193</v>
      </c>
      <c r="L7">
        <v>31766</v>
      </c>
      <c r="M7">
        <v>30004</v>
      </c>
    </row>
    <row r="8" spans="1:13" ht="15" customHeight="1" x14ac:dyDescent="0.35">
      <c r="A8" s="128"/>
      <c r="B8" s="120" t="s">
        <v>19</v>
      </c>
      <c r="C8" t="s">
        <v>52</v>
      </c>
      <c r="D8" t="s">
        <v>8</v>
      </c>
      <c r="E8" t="s">
        <v>9</v>
      </c>
      <c r="F8" t="s">
        <v>10</v>
      </c>
      <c r="G8" t="s">
        <v>13</v>
      </c>
      <c r="H8" t="s">
        <v>27</v>
      </c>
      <c r="I8" t="s">
        <v>16</v>
      </c>
      <c r="J8" t="s">
        <v>12</v>
      </c>
      <c r="K8" t="s">
        <v>32</v>
      </c>
      <c r="L8" t="s">
        <v>7</v>
      </c>
      <c r="M8" t="s">
        <v>33</v>
      </c>
    </row>
    <row r="9" spans="1:13" s="51" customFormat="1" ht="15" customHeight="1" x14ac:dyDescent="0.35">
      <c r="A9" s="128"/>
      <c r="B9" s="120"/>
      <c r="C9" s="51" t="s">
        <v>53</v>
      </c>
      <c r="D9">
        <v>24274</v>
      </c>
      <c r="E9">
        <v>14725</v>
      </c>
      <c r="F9">
        <v>13777</v>
      </c>
      <c r="G9">
        <v>11172</v>
      </c>
      <c r="H9">
        <v>10360</v>
      </c>
      <c r="I9">
        <v>7681</v>
      </c>
      <c r="J9">
        <v>7444</v>
      </c>
      <c r="K9">
        <v>7356</v>
      </c>
      <c r="L9">
        <v>6358</v>
      </c>
      <c r="M9">
        <v>6009</v>
      </c>
    </row>
    <row r="10" spans="1:13" ht="15" customHeight="1" x14ac:dyDescent="0.35">
      <c r="A10" s="128"/>
      <c r="B10" s="120" t="s">
        <v>20</v>
      </c>
      <c r="C10" t="s">
        <v>52</v>
      </c>
      <c r="D10" t="s">
        <v>8</v>
      </c>
      <c r="E10" t="s">
        <v>10</v>
      </c>
      <c r="F10" t="s">
        <v>9</v>
      </c>
      <c r="G10" t="s">
        <v>13</v>
      </c>
      <c r="H10" t="s">
        <v>7</v>
      </c>
      <c r="I10" t="s">
        <v>12</v>
      </c>
      <c r="J10" t="s">
        <v>27</v>
      </c>
      <c r="K10" t="s">
        <v>11</v>
      </c>
      <c r="L10" t="s">
        <v>16</v>
      </c>
      <c r="M10" t="s">
        <v>32</v>
      </c>
    </row>
    <row r="11" spans="1:13" s="51" customFormat="1" ht="15" customHeight="1" x14ac:dyDescent="0.35">
      <c r="A11" s="128"/>
      <c r="B11" s="120"/>
      <c r="C11" s="51" t="s">
        <v>53</v>
      </c>
      <c r="D11">
        <v>26835</v>
      </c>
      <c r="E11">
        <v>18175</v>
      </c>
      <c r="F11">
        <v>15758</v>
      </c>
      <c r="G11">
        <v>11639</v>
      </c>
      <c r="H11">
        <v>10769</v>
      </c>
      <c r="I11">
        <v>9899</v>
      </c>
      <c r="J11">
        <v>8444</v>
      </c>
      <c r="K11">
        <v>7905</v>
      </c>
      <c r="L11">
        <v>7717</v>
      </c>
      <c r="M11">
        <v>6971</v>
      </c>
    </row>
    <row r="12" spans="1:13" ht="15" customHeight="1" x14ac:dyDescent="0.35">
      <c r="A12" s="128"/>
      <c r="B12" s="120" t="s">
        <v>21</v>
      </c>
      <c r="C12" t="s">
        <v>52</v>
      </c>
      <c r="D12" t="s">
        <v>8</v>
      </c>
      <c r="E12" t="s">
        <v>10</v>
      </c>
      <c r="F12" t="s">
        <v>7</v>
      </c>
      <c r="G12" t="s">
        <v>9</v>
      </c>
      <c r="H12" t="s">
        <v>13</v>
      </c>
      <c r="I12" t="s">
        <v>12</v>
      </c>
      <c r="J12" t="s">
        <v>11</v>
      </c>
      <c r="K12" t="s">
        <v>14</v>
      </c>
      <c r="L12" t="s">
        <v>16</v>
      </c>
      <c r="M12" t="s">
        <v>114</v>
      </c>
    </row>
    <row r="13" spans="1:13" s="51" customFormat="1" ht="15" customHeight="1" x14ac:dyDescent="0.35">
      <c r="A13" s="128"/>
      <c r="B13" s="120"/>
      <c r="C13" s="51" t="s">
        <v>53</v>
      </c>
      <c r="D13">
        <v>29975</v>
      </c>
      <c r="E13">
        <v>18814</v>
      </c>
      <c r="F13">
        <v>18514</v>
      </c>
      <c r="G13">
        <v>14482</v>
      </c>
      <c r="H13">
        <v>11829</v>
      </c>
      <c r="I13">
        <v>11614</v>
      </c>
      <c r="J13">
        <v>11181</v>
      </c>
      <c r="K13">
        <v>9107</v>
      </c>
      <c r="L13">
        <v>8163</v>
      </c>
      <c r="M13">
        <v>7133</v>
      </c>
    </row>
    <row r="14" spans="1:13" ht="15" customHeight="1" x14ac:dyDescent="0.35">
      <c r="A14" s="128"/>
      <c r="B14" s="120" t="s">
        <v>22</v>
      </c>
      <c r="C14" t="s">
        <v>52</v>
      </c>
      <c r="D14" t="s">
        <v>8</v>
      </c>
      <c r="E14" t="s">
        <v>7</v>
      </c>
      <c r="F14" t="s">
        <v>10</v>
      </c>
      <c r="G14" t="s">
        <v>11</v>
      </c>
      <c r="H14" t="s">
        <v>12</v>
      </c>
      <c r="I14" t="s">
        <v>9</v>
      </c>
      <c r="J14" t="s">
        <v>13</v>
      </c>
      <c r="K14" t="s">
        <v>114</v>
      </c>
      <c r="L14" t="s">
        <v>14</v>
      </c>
      <c r="M14" t="s">
        <v>15</v>
      </c>
    </row>
    <row r="15" spans="1:13" s="51" customFormat="1" ht="15" customHeight="1" x14ac:dyDescent="0.35">
      <c r="A15" s="128"/>
      <c r="B15" s="120"/>
      <c r="C15" s="51" t="s">
        <v>53</v>
      </c>
      <c r="D15">
        <v>26403</v>
      </c>
      <c r="E15">
        <v>22967</v>
      </c>
      <c r="F15">
        <v>13534</v>
      </c>
      <c r="G15">
        <v>10625</v>
      </c>
      <c r="H15">
        <v>9627</v>
      </c>
      <c r="I15">
        <v>8666</v>
      </c>
      <c r="J15">
        <v>7456</v>
      </c>
      <c r="K15">
        <v>6939</v>
      </c>
      <c r="L15">
        <v>6460</v>
      </c>
      <c r="M15">
        <v>6361</v>
      </c>
    </row>
    <row r="16" spans="1:13" ht="17.25" customHeight="1" x14ac:dyDescent="0.35">
      <c r="A16" s="128"/>
      <c r="B16" s="120" t="s">
        <v>23</v>
      </c>
      <c r="C16" t="s">
        <v>52</v>
      </c>
      <c r="D16" t="s">
        <v>7</v>
      </c>
      <c r="E16" t="s">
        <v>8</v>
      </c>
      <c r="F16" t="s">
        <v>10</v>
      </c>
      <c r="G16" t="s">
        <v>11</v>
      </c>
      <c r="H16" t="s">
        <v>12</v>
      </c>
      <c r="I16" t="s">
        <v>34</v>
      </c>
      <c r="J16" t="s">
        <v>15</v>
      </c>
      <c r="K16" t="s">
        <v>13</v>
      </c>
      <c r="L16" t="s">
        <v>35</v>
      </c>
      <c r="M16" t="s">
        <v>14</v>
      </c>
    </row>
    <row r="17" spans="1:13" s="51" customFormat="1" ht="17.25" customHeight="1" x14ac:dyDescent="0.35">
      <c r="A17" s="128"/>
      <c r="B17" s="120"/>
      <c r="C17" s="51" t="s">
        <v>53</v>
      </c>
      <c r="D17">
        <v>21547</v>
      </c>
      <c r="E17">
        <v>20960</v>
      </c>
      <c r="F17">
        <v>9665</v>
      </c>
      <c r="G17">
        <v>8152</v>
      </c>
      <c r="H17">
        <v>6838</v>
      </c>
      <c r="I17">
        <v>5637</v>
      </c>
      <c r="J17">
        <v>4667</v>
      </c>
      <c r="K17">
        <v>4450</v>
      </c>
      <c r="L17">
        <v>4094</v>
      </c>
      <c r="M17">
        <v>3992</v>
      </c>
    </row>
    <row r="18" spans="1:13" ht="15.75" customHeight="1" x14ac:dyDescent="0.35">
      <c r="A18" s="128"/>
      <c r="B18" s="120" t="s">
        <v>24</v>
      </c>
      <c r="C18" t="s">
        <v>52</v>
      </c>
      <c r="D18" t="s">
        <v>7</v>
      </c>
      <c r="E18" t="s">
        <v>8</v>
      </c>
      <c r="F18" t="s">
        <v>10</v>
      </c>
      <c r="G18" t="s">
        <v>11</v>
      </c>
      <c r="H18" t="s">
        <v>12</v>
      </c>
      <c r="I18" t="s">
        <v>34</v>
      </c>
      <c r="J18" t="s">
        <v>15</v>
      </c>
      <c r="K18" t="s">
        <v>128</v>
      </c>
      <c r="L18" t="s">
        <v>113</v>
      </c>
      <c r="M18" t="s">
        <v>35</v>
      </c>
    </row>
    <row r="19" spans="1:13" s="51" customFormat="1" ht="15" customHeight="1" x14ac:dyDescent="0.35">
      <c r="A19" s="128"/>
      <c r="B19" s="120"/>
      <c r="C19" s="51" t="s">
        <v>53</v>
      </c>
      <c r="D19">
        <v>12812</v>
      </c>
      <c r="E19">
        <v>11308</v>
      </c>
      <c r="F19">
        <v>4512</v>
      </c>
      <c r="G19">
        <v>4060</v>
      </c>
      <c r="H19">
        <v>3414</v>
      </c>
      <c r="I19">
        <v>3021</v>
      </c>
      <c r="J19">
        <v>2234</v>
      </c>
      <c r="K19">
        <v>2136</v>
      </c>
      <c r="L19">
        <v>2027</v>
      </c>
      <c r="M19">
        <v>1952</v>
      </c>
    </row>
    <row r="20" spans="1:13" ht="15" customHeight="1" x14ac:dyDescent="0.35">
      <c r="A20" s="128"/>
      <c r="B20" s="120" t="s">
        <v>25</v>
      </c>
      <c r="C20" t="s">
        <v>52</v>
      </c>
      <c r="D20" t="s">
        <v>7</v>
      </c>
      <c r="E20" t="s">
        <v>8</v>
      </c>
      <c r="F20" t="s">
        <v>10</v>
      </c>
      <c r="G20" t="s">
        <v>11</v>
      </c>
      <c r="H20" t="s">
        <v>12</v>
      </c>
      <c r="I20" t="s">
        <v>34</v>
      </c>
      <c r="J20" t="s">
        <v>128</v>
      </c>
      <c r="K20" t="s">
        <v>15</v>
      </c>
      <c r="L20" t="s">
        <v>36</v>
      </c>
      <c r="M20" t="s">
        <v>35</v>
      </c>
    </row>
    <row r="21" spans="1:13" s="51" customFormat="1" ht="15" customHeight="1" x14ac:dyDescent="0.35">
      <c r="A21" s="128"/>
      <c r="B21" s="120"/>
      <c r="C21" s="51" t="s">
        <v>53</v>
      </c>
      <c r="D21">
        <v>4172</v>
      </c>
      <c r="E21">
        <v>3881</v>
      </c>
      <c r="F21">
        <v>1336</v>
      </c>
      <c r="G21">
        <v>1190</v>
      </c>
      <c r="H21">
        <v>1184</v>
      </c>
      <c r="I21">
        <v>915</v>
      </c>
      <c r="J21">
        <v>754</v>
      </c>
      <c r="K21">
        <v>663</v>
      </c>
      <c r="L21">
        <v>637</v>
      </c>
      <c r="M21">
        <v>542</v>
      </c>
    </row>
    <row r="22" spans="1:13" ht="15" customHeight="1" x14ac:dyDescent="0.35">
      <c r="A22" s="128"/>
      <c r="B22" s="120" t="s">
        <v>26</v>
      </c>
      <c r="C22" t="s">
        <v>52</v>
      </c>
      <c r="D22" t="s">
        <v>8</v>
      </c>
      <c r="E22" t="s">
        <v>7</v>
      </c>
      <c r="F22" t="s">
        <v>12</v>
      </c>
      <c r="G22" t="s">
        <v>10</v>
      </c>
      <c r="H22" t="s">
        <v>11</v>
      </c>
      <c r="I22" t="s">
        <v>36</v>
      </c>
      <c r="J22" t="s">
        <v>34</v>
      </c>
      <c r="K22" t="s">
        <v>128</v>
      </c>
      <c r="L22" t="s">
        <v>113</v>
      </c>
      <c r="M22" t="s">
        <v>15</v>
      </c>
    </row>
    <row r="23" spans="1:13" s="51" customFormat="1" ht="15" customHeight="1" x14ac:dyDescent="0.35">
      <c r="A23" s="128"/>
      <c r="B23" s="120"/>
      <c r="C23" s="51" t="s">
        <v>53</v>
      </c>
      <c r="D23">
        <v>611</v>
      </c>
      <c r="E23">
        <v>458</v>
      </c>
      <c r="F23">
        <v>222</v>
      </c>
      <c r="G23">
        <v>179</v>
      </c>
      <c r="H23">
        <v>142</v>
      </c>
      <c r="I23">
        <v>108</v>
      </c>
      <c r="J23">
        <v>102</v>
      </c>
      <c r="K23">
        <v>95</v>
      </c>
      <c r="L23">
        <v>84</v>
      </c>
      <c r="M23">
        <v>73</v>
      </c>
    </row>
    <row r="24" spans="1:13" ht="15" customHeight="1" x14ac:dyDescent="0.35">
      <c r="A24" s="128"/>
      <c r="B24" s="120" t="s">
        <v>3</v>
      </c>
      <c r="C24" t="s">
        <v>52</v>
      </c>
      <c r="D24" t="s">
        <v>8</v>
      </c>
      <c r="E24" t="s">
        <v>27</v>
      </c>
      <c r="F24" t="s">
        <v>100</v>
      </c>
      <c r="G24" t="s">
        <v>7</v>
      </c>
      <c r="H24" t="s">
        <v>10</v>
      </c>
      <c r="I24" t="s">
        <v>9</v>
      </c>
      <c r="J24" t="s">
        <v>28</v>
      </c>
      <c r="K24" t="s">
        <v>109</v>
      </c>
      <c r="L24" t="s">
        <v>29</v>
      </c>
      <c r="M24" t="s">
        <v>13</v>
      </c>
    </row>
    <row r="25" spans="1:13" s="51" customFormat="1" ht="15.75" customHeight="1" x14ac:dyDescent="0.35">
      <c r="A25" s="128"/>
      <c r="B25" s="120"/>
      <c r="C25" s="51" t="s">
        <v>53</v>
      </c>
      <c r="D25">
        <v>216581</v>
      </c>
      <c r="E25">
        <v>122357</v>
      </c>
      <c r="F25">
        <v>119853</v>
      </c>
      <c r="G25">
        <v>103274</v>
      </c>
      <c r="H25">
        <v>98034</v>
      </c>
      <c r="I25">
        <v>89061</v>
      </c>
      <c r="J25">
        <v>88482</v>
      </c>
      <c r="K25">
        <v>77290</v>
      </c>
      <c r="L25">
        <v>77021</v>
      </c>
      <c r="M25">
        <v>75496</v>
      </c>
    </row>
    <row r="26" spans="1:13" s="51" customFormat="1" ht="15.75" customHeight="1" x14ac:dyDescent="0.35">
      <c r="A26" s="128" t="s">
        <v>162</v>
      </c>
      <c r="B26" s="120" t="s">
        <v>17</v>
      </c>
      <c r="C26" s="51" t="s">
        <v>52</v>
      </c>
      <c r="D26" t="s">
        <v>28</v>
      </c>
      <c r="E26" t="s">
        <v>29</v>
      </c>
      <c r="F26" t="s">
        <v>31</v>
      </c>
      <c r="G26" t="s">
        <v>115</v>
      </c>
      <c r="H26" t="s">
        <v>27</v>
      </c>
      <c r="I26" t="s">
        <v>117</v>
      </c>
      <c r="J26" t="s">
        <v>100</v>
      </c>
      <c r="K26" t="s">
        <v>112</v>
      </c>
      <c r="L26" t="s">
        <v>116</v>
      </c>
      <c r="M26" t="s">
        <v>129</v>
      </c>
    </row>
    <row r="27" spans="1:13" s="51" customFormat="1" ht="15.75" customHeight="1" x14ac:dyDescent="0.35">
      <c r="A27" s="128"/>
      <c r="B27" s="120"/>
      <c r="C27" s="51" t="s">
        <v>53</v>
      </c>
      <c r="D27">
        <v>53293</v>
      </c>
      <c r="E27">
        <v>37092</v>
      </c>
      <c r="F27">
        <v>23215</v>
      </c>
      <c r="G27">
        <v>21563</v>
      </c>
      <c r="H27">
        <v>16664</v>
      </c>
      <c r="I27">
        <v>15566</v>
      </c>
      <c r="J27">
        <v>14284</v>
      </c>
      <c r="K27">
        <v>11357</v>
      </c>
      <c r="L27">
        <v>10496</v>
      </c>
      <c r="M27">
        <v>8564</v>
      </c>
    </row>
    <row r="28" spans="1:13" ht="15" customHeight="1" x14ac:dyDescent="0.35">
      <c r="A28" s="128"/>
      <c r="B28" s="120" t="s">
        <v>18</v>
      </c>
      <c r="C28" t="s">
        <v>52</v>
      </c>
      <c r="D28" t="s">
        <v>27</v>
      </c>
      <c r="E28" t="s">
        <v>28</v>
      </c>
      <c r="F28" t="s">
        <v>29</v>
      </c>
      <c r="G28" t="s">
        <v>32</v>
      </c>
      <c r="H28" t="s">
        <v>30</v>
      </c>
      <c r="I28" t="s">
        <v>31</v>
      </c>
      <c r="J28" t="s">
        <v>33</v>
      </c>
      <c r="K28" t="s">
        <v>9</v>
      </c>
      <c r="L28" t="s">
        <v>100</v>
      </c>
      <c r="M28" t="s">
        <v>142</v>
      </c>
    </row>
    <row r="29" spans="1:13" s="51" customFormat="1" ht="15" customHeight="1" x14ac:dyDescent="0.35">
      <c r="A29" s="128"/>
      <c r="B29" s="120"/>
      <c r="C29" s="51" t="s">
        <v>53</v>
      </c>
      <c r="D29">
        <v>74377</v>
      </c>
      <c r="E29">
        <v>70369</v>
      </c>
      <c r="F29">
        <v>55195</v>
      </c>
      <c r="G29">
        <v>41169</v>
      </c>
      <c r="H29">
        <v>39363</v>
      </c>
      <c r="I29">
        <v>38743</v>
      </c>
      <c r="J29">
        <v>33432</v>
      </c>
      <c r="K29">
        <v>25836</v>
      </c>
      <c r="L29">
        <v>24375</v>
      </c>
      <c r="M29">
        <v>23504</v>
      </c>
    </row>
    <row r="30" spans="1:13" ht="15" customHeight="1" x14ac:dyDescent="0.35">
      <c r="A30" s="128"/>
      <c r="B30" s="120" t="s">
        <v>19</v>
      </c>
      <c r="C30" t="s">
        <v>52</v>
      </c>
      <c r="D30" t="s">
        <v>32</v>
      </c>
      <c r="E30" t="s">
        <v>10</v>
      </c>
      <c r="F30" t="s">
        <v>9</v>
      </c>
      <c r="G30" t="s">
        <v>27</v>
      </c>
      <c r="H30" t="s">
        <v>33</v>
      </c>
      <c r="I30" t="s">
        <v>30</v>
      </c>
      <c r="J30" t="s">
        <v>8</v>
      </c>
      <c r="K30" t="s">
        <v>7</v>
      </c>
      <c r="L30" t="s">
        <v>13</v>
      </c>
      <c r="M30" t="s">
        <v>28</v>
      </c>
    </row>
    <row r="31" spans="1:13" s="51" customFormat="1" ht="15" customHeight="1" x14ac:dyDescent="0.35">
      <c r="A31" s="128"/>
      <c r="B31" s="120"/>
      <c r="C31" s="51" t="s">
        <v>53</v>
      </c>
      <c r="D31">
        <v>13773</v>
      </c>
      <c r="E31">
        <v>13578</v>
      </c>
      <c r="F31">
        <v>11602</v>
      </c>
      <c r="G31">
        <v>10331</v>
      </c>
      <c r="H31">
        <v>9071</v>
      </c>
      <c r="I31">
        <v>9057</v>
      </c>
      <c r="J31">
        <v>7498</v>
      </c>
      <c r="K31">
        <v>7232</v>
      </c>
      <c r="L31">
        <v>6816</v>
      </c>
      <c r="M31">
        <v>5068</v>
      </c>
    </row>
    <row r="32" spans="1:13" ht="15" customHeight="1" x14ac:dyDescent="0.35">
      <c r="A32" s="128"/>
      <c r="B32" s="120" t="s">
        <v>20</v>
      </c>
      <c r="C32" t="s">
        <v>52</v>
      </c>
      <c r="D32" t="s">
        <v>10</v>
      </c>
      <c r="E32" t="s">
        <v>32</v>
      </c>
      <c r="F32" t="s">
        <v>7</v>
      </c>
      <c r="G32" t="s">
        <v>9</v>
      </c>
      <c r="H32" t="s">
        <v>8</v>
      </c>
      <c r="I32" t="s">
        <v>27</v>
      </c>
      <c r="J32" t="s">
        <v>33</v>
      </c>
      <c r="K32" t="s">
        <v>30</v>
      </c>
      <c r="L32" t="s">
        <v>13</v>
      </c>
      <c r="M32" t="s">
        <v>11</v>
      </c>
    </row>
    <row r="33" spans="1:13" s="51" customFormat="1" ht="15" customHeight="1" x14ac:dyDescent="0.35">
      <c r="A33" s="128"/>
      <c r="B33" s="120"/>
      <c r="C33" s="51" t="s">
        <v>53</v>
      </c>
      <c r="D33">
        <v>19798</v>
      </c>
      <c r="E33">
        <v>13198</v>
      </c>
      <c r="F33">
        <v>12457</v>
      </c>
      <c r="G33">
        <v>12075</v>
      </c>
      <c r="H33">
        <v>10412</v>
      </c>
      <c r="I33">
        <v>8925</v>
      </c>
      <c r="J33">
        <v>8889</v>
      </c>
      <c r="K33">
        <v>8126</v>
      </c>
      <c r="L33">
        <v>7397</v>
      </c>
      <c r="M33">
        <v>5714</v>
      </c>
    </row>
    <row r="34" spans="1:13" ht="15" customHeight="1" x14ac:dyDescent="0.35">
      <c r="A34" s="128"/>
      <c r="B34" s="120" t="s">
        <v>21</v>
      </c>
      <c r="C34" t="s">
        <v>52</v>
      </c>
      <c r="D34" t="s">
        <v>7</v>
      </c>
      <c r="E34" t="s">
        <v>10</v>
      </c>
      <c r="F34" t="s">
        <v>8</v>
      </c>
      <c r="G34" t="s">
        <v>32</v>
      </c>
      <c r="H34" t="s">
        <v>9</v>
      </c>
      <c r="I34" t="s">
        <v>11</v>
      </c>
      <c r="J34" t="s">
        <v>14</v>
      </c>
      <c r="K34" t="s">
        <v>33</v>
      </c>
      <c r="L34" t="s">
        <v>13</v>
      </c>
      <c r="M34" t="s">
        <v>27</v>
      </c>
    </row>
    <row r="35" spans="1:13" s="51" customFormat="1" ht="15" customHeight="1" x14ac:dyDescent="0.35">
      <c r="A35" s="128"/>
      <c r="B35" s="120"/>
      <c r="C35" s="51" t="s">
        <v>53</v>
      </c>
      <c r="D35">
        <v>21630</v>
      </c>
      <c r="E35">
        <v>21286</v>
      </c>
      <c r="F35">
        <v>14176</v>
      </c>
      <c r="G35">
        <v>11303</v>
      </c>
      <c r="H35">
        <v>10212</v>
      </c>
      <c r="I35">
        <v>9089</v>
      </c>
      <c r="J35">
        <v>9079</v>
      </c>
      <c r="K35">
        <v>8624</v>
      </c>
      <c r="L35">
        <v>7626</v>
      </c>
      <c r="M35">
        <v>7144</v>
      </c>
    </row>
    <row r="36" spans="1:13" ht="15" customHeight="1" x14ac:dyDescent="0.35">
      <c r="A36" s="128"/>
      <c r="B36" s="120" t="s">
        <v>22</v>
      </c>
      <c r="C36" t="s">
        <v>52</v>
      </c>
      <c r="D36" t="s">
        <v>7</v>
      </c>
      <c r="E36" t="s">
        <v>10</v>
      </c>
      <c r="F36" t="s">
        <v>8</v>
      </c>
      <c r="G36" t="s">
        <v>11</v>
      </c>
      <c r="H36" t="s">
        <v>14</v>
      </c>
      <c r="I36" t="s">
        <v>34</v>
      </c>
      <c r="J36" t="s">
        <v>32</v>
      </c>
      <c r="K36" t="s">
        <v>15</v>
      </c>
      <c r="L36" t="s">
        <v>9</v>
      </c>
      <c r="M36" t="s">
        <v>13</v>
      </c>
    </row>
    <row r="37" spans="1:13" s="51" customFormat="1" ht="15" customHeight="1" x14ac:dyDescent="0.35">
      <c r="A37" s="128"/>
      <c r="B37" s="120"/>
      <c r="C37" s="51" t="s">
        <v>53</v>
      </c>
      <c r="D37">
        <v>31046</v>
      </c>
      <c r="E37">
        <v>16175</v>
      </c>
      <c r="F37">
        <v>15499</v>
      </c>
      <c r="G37">
        <v>10341</v>
      </c>
      <c r="H37">
        <v>7803</v>
      </c>
      <c r="I37">
        <v>7280</v>
      </c>
      <c r="J37">
        <v>6927</v>
      </c>
      <c r="K37">
        <v>6205</v>
      </c>
      <c r="L37">
        <v>5852</v>
      </c>
      <c r="M37">
        <v>5749</v>
      </c>
    </row>
    <row r="38" spans="1:13" ht="15" customHeight="1" x14ac:dyDescent="0.35">
      <c r="A38" s="128"/>
      <c r="B38" s="120" t="s">
        <v>23</v>
      </c>
      <c r="C38" t="s">
        <v>52</v>
      </c>
      <c r="D38" t="s">
        <v>7</v>
      </c>
      <c r="E38" t="s">
        <v>8</v>
      </c>
      <c r="F38" t="s">
        <v>10</v>
      </c>
      <c r="G38" t="s">
        <v>11</v>
      </c>
      <c r="H38" t="s">
        <v>34</v>
      </c>
      <c r="I38" t="s">
        <v>15</v>
      </c>
      <c r="J38" t="s">
        <v>14</v>
      </c>
      <c r="K38" t="s">
        <v>13</v>
      </c>
      <c r="L38" t="s">
        <v>35</v>
      </c>
      <c r="M38" t="s">
        <v>32</v>
      </c>
    </row>
    <row r="39" spans="1:13" s="51" customFormat="1" ht="15" customHeight="1" x14ac:dyDescent="0.35">
      <c r="A39" s="128"/>
      <c r="B39" s="120"/>
      <c r="C39" s="51" t="s">
        <v>53</v>
      </c>
      <c r="D39">
        <v>35742</v>
      </c>
      <c r="E39">
        <v>16277</v>
      </c>
      <c r="F39">
        <v>12118</v>
      </c>
      <c r="G39">
        <v>10287</v>
      </c>
      <c r="H39">
        <v>7783</v>
      </c>
      <c r="I39">
        <v>6030</v>
      </c>
      <c r="J39">
        <v>5910</v>
      </c>
      <c r="K39">
        <v>4284</v>
      </c>
      <c r="L39">
        <v>4233</v>
      </c>
      <c r="M39">
        <v>3991</v>
      </c>
    </row>
    <row r="40" spans="1:13" ht="15" customHeight="1" x14ac:dyDescent="0.35">
      <c r="A40" s="128"/>
      <c r="B40" s="120" t="s">
        <v>24</v>
      </c>
      <c r="C40" t="s">
        <v>52</v>
      </c>
      <c r="D40" t="s">
        <v>7</v>
      </c>
      <c r="E40" t="s">
        <v>8</v>
      </c>
      <c r="F40" t="s">
        <v>10</v>
      </c>
      <c r="G40" t="s">
        <v>11</v>
      </c>
      <c r="H40" t="s">
        <v>34</v>
      </c>
      <c r="I40" t="s">
        <v>15</v>
      </c>
      <c r="J40" t="s">
        <v>14</v>
      </c>
      <c r="K40" t="s">
        <v>35</v>
      </c>
      <c r="L40" t="s">
        <v>128</v>
      </c>
      <c r="M40" t="s">
        <v>36</v>
      </c>
    </row>
    <row r="41" spans="1:13" s="51" customFormat="1" ht="15" customHeight="1" x14ac:dyDescent="0.35">
      <c r="A41" s="128"/>
      <c r="B41" s="120"/>
      <c r="C41" s="51" t="s">
        <v>53</v>
      </c>
      <c r="D41">
        <v>30508</v>
      </c>
      <c r="E41">
        <v>12135</v>
      </c>
      <c r="F41">
        <v>7004</v>
      </c>
      <c r="G41">
        <v>6813</v>
      </c>
      <c r="H41">
        <v>4941</v>
      </c>
      <c r="I41">
        <v>3690</v>
      </c>
      <c r="J41">
        <v>2985</v>
      </c>
      <c r="K41">
        <v>2621</v>
      </c>
      <c r="L41">
        <v>2616</v>
      </c>
      <c r="M41">
        <v>2519</v>
      </c>
    </row>
    <row r="42" spans="1:13" ht="15" customHeight="1" x14ac:dyDescent="0.35">
      <c r="A42" s="128"/>
      <c r="B42" s="120" t="s">
        <v>25</v>
      </c>
      <c r="C42" t="s">
        <v>52</v>
      </c>
      <c r="D42" t="s">
        <v>7</v>
      </c>
      <c r="E42" t="s">
        <v>8</v>
      </c>
      <c r="F42" t="s">
        <v>10</v>
      </c>
      <c r="G42" t="s">
        <v>11</v>
      </c>
      <c r="H42" t="s">
        <v>34</v>
      </c>
      <c r="I42" t="s">
        <v>128</v>
      </c>
      <c r="J42" t="s">
        <v>15</v>
      </c>
      <c r="K42" t="s">
        <v>36</v>
      </c>
      <c r="L42" t="s">
        <v>35</v>
      </c>
      <c r="M42" t="s">
        <v>14</v>
      </c>
    </row>
    <row r="43" spans="1:13" s="51" customFormat="1" ht="15" customHeight="1" x14ac:dyDescent="0.35">
      <c r="A43" s="128"/>
      <c r="B43" s="120"/>
      <c r="C43" s="51" t="s">
        <v>53</v>
      </c>
      <c r="D43">
        <v>11777</v>
      </c>
      <c r="E43">
        <v>5666</v>
      </c>
      <c r="F43">
        <v>2678</v>
      </c>
      <c r="G43">
        <v>2629</v>
      </c>
      <c r="H43">
        <v>1800</v>
      </c>
      <c r="I43">
        <v>1349</v>
      </c>
      <c r="J43">
        <v>1309</v>
      </c>
      <c r="K43">
        <v>1074</v>
      </c>
      <c r="L43">
        <v>1031</v>
      </c>
      <c r="M43">
        <v>1000</v>
      </c>
    </row>
    <row r="44" spans="1:13" ht="15" customHeight="1" x14ac:dyDescent="0.35">
      <c r="A44" s="128"/>
      <c r="B44" s="120" t="s">
        <v>26</v>
      </c>
      <c r="C44" t="s">
        <v>52</v>
      </c>
      <c r="D44" t="s">
        <v>7</v>
      </c>
      <c r="E44" t="s">
        <v>8</v>
      </c>
      <c r="F44" t="s">
        <v>11</v>
      </c>
      <c r="G44" t="s">
        <v>10</v>
      </c>
      <c r="H44" t="s">
        <v>34</v>
      </c>
      <c r="I44" t="s">
        <v>128</v>
      </c>
      <c r="J44" t="s">
        <v>36</v>
      </c>
      <c r="K44" t="s">
        <v>15</v>
      </c>
      <c r="L44" t="s">
        <v>35</v>
      </c>
      <c r="M44" t="s">
        <v>130</v>
      </c>
    </row>
    <row r="45" spans="1:13" s="51" customFormat="1" ht="15" customHeight="1" x14ac:dyDescent="0.35">
      <c r="A45" s="128"/>
      <c r="B45" s="120"/>
      <c r="C45" s="51" t="s">
        <v>53</v>
      </c>
      <c r="D45">
        <v>2214</v>
      </c>
      <c r="E45">
        <v>1464</v>
      </c>
      <c r="F45">
        <v>524</v>
      </c>
      <c r="G45">
        <v>498</v>
      </c>
      <c r="H45">
        <v>315</v>
      </c>
      <c r="I45">
        <v>310</v>
      </c>
      <c r="J45">
        <v>281</v>
      </c>
      <c r="K45">
        <v>207</v>
      </c>
      <c r="L45">
        <v>190</v>
      </c>
      <c r="M45">
        <v>170</v>
      </c>
    </row>
    <row r="46" spans="1:13" s="7" customFormat="1" ht="15" customHeight="1" x14ac:dyDescent="0.35">
      <c r="A46" s="128"/>
      <c r="B46" s="120" t="s">
        <v>3</v>
      </c>
      <c r="C46" s="7" t="s">
        <v>52</v>
      </c>
      <c r="D46" t="s">
        <v>7</v>
      </c>
      <c r="E46" t="s">
        <v>28</v>
      </c>
      <c r="F46" t="s">
        <v>27</v>
      </c>
      <c r="G46" t="s">
        <v>10</v>
      </c>
      <c r="H46" t="s">
        <v>29</v>
      </c>
      <c r="I46" t="s">
        <v>8</v>
      </c>
      <c r="J46" t="s">
        <v>32</v>
      </c>
      <c r="K46" t="s">
        <v>31</v>
      </c>
      <c r="L46" t="s">
        <v>30</v>
      </c>
      <c r="M46" t="s">
        <v>33</v>
      </c>
    </row>
    <row r="47" spans="1:13" s="51" customFormat="1" ht="15.75" customHeight="1" x14ac:dyDescent="0.35">
      <c r="A47" s="128"/>
      <c r="B47" s="120"/>
      <c r="C47" s="51" t="s">
        <v>53</v>
      </c>
      <c r="D47">
        <v>158778</v>
      </c>
      <c r="E47">
        <v>136283</v>
      </c>
      <c r="F47">
        <v>124556</v>
      </c>
      <c r="G47">
        <v>113685</v>
      </c>
      <c r="H47">
        <v>104508</v>
      </c>
      <c r="I47">
        <v>100524</v>
      </c>
      <c r="J47">
        <v>93663</v>
      </c>
      <c r="K47">
        <v>79135</v>
      </c>
      <c r="L47">
        <v>72659</v>
      </c>
      <c r="M47">
        <v>72609</v>
      </c>
    </row>
    <row r="48" spans="1:13" s="51" customFormat="1" ht="15.75" customHeight="1" x14ac:dyDescent="0.35">
      <c r="A48" s="128" t="s">
        <v>1</v>
      </c>
      <c r="B48" s="120" t="s">
        <v>17</v>
      </c>
      <c r="C48" t="s">
        <v>52</v>
      </c>
      <c r="D48" t="s">
        <v>28</v>
      </c>
      <c r="E48" t="s">
        <v>29</v>
      </c>
      <c r="F48" t="s">
        <v>100</v>
      </c>
      <c r="G48" t="s">
        <v>31</v>
      </c>
      <c r="H48" t="s">
        <v>109</v>
      </c>
      <c r="I48" t="s">
        <v>27</v>
      </c>
      <c r="J48" t="s">
        <v>115</v>
      </c>
      <c r="K48" t="s">
        <v>112</v>
      </c>
      <c r="L48" t="s">
        <v>117</v>
      </c>
      <c r="M48" t="s">
        <v>38</v>
      </c>
    </row>
    <row r="49" spans="1:13" s="51" customFormat="1" ht="15.75" customHeight="1" x14ac:dyDescent="0.35">
      <c r="A49" s="128"/>
      <c r="B49" s="120"/>
      <c r="C49" s="51" t="s">
        <v>53</v>
      </c>
      <c r="D49">
        <v>92744</v>
      </c>
      <c r="E49">
        <v>62788</v>
      </c>
      <c r="F49">
        <v>53006</v>
      </c>
      <c r="G49">
        <v>49506</v>
      </c>
      <c r="H49">
        <v>36750</v>
      </c>
      <c r="I49">
        <v>33064</v>
      </c>
      <c r="J49">
        <v>29924</v>
      </c>
      <c r="K49">
        <v>25402</v>
      </c>
      <c r="L49">
        <v>22509</v>
      </c>
      <c r="M49">
        <v>21764</v>
      </c>
    </row>
    <row r="50" spans="1:13" x14ac:dyDescent="0.35">
      <c r="A50" s="128"/>
      <c r="B50" s="120" t="s">
        <v>18</v>
      </c>
      <c r="C50" t="s">
        <v>52</v>
      </c>
      <c r="D50" t="s">
        <v>27</v>
      </c>
      <c r="E50" t="s">
        <v>28</v>
      </c>
      <c r="F50" t="s">
        <v>29</v>
      </c>
      <c r="G50" t="s">
        <v>100</v>
      </c>
      <c r="H50" t="s">
        <v>8</v>
      </c>
      <c r="I50" t="s">
        <v>31</v>
      </c>
      <c r="J50" t="s">
        <v>32</v>
      </c>
      <c r="K50" t="s">
        <v>9</v>
      </c>
      <c r="L50" t="s">
        <v>33</v>
      </c>
      <c r="M50" t="s">
        <v>37</v>
      </c>
    </row>
    <row r="51" spans="1:13" s="51" customFormat="1" x14ac:dyDescent="0.35">
      <c r="A51" s="128"/>
      <c r="B51" s="120"/>
      <c r="C51" s="51" t="s">
        <v>53</v>
      </c>
      <c r="D51">
        <v>148922</v>
      </c>
      <c r="E51">
        <v>111258</v>
      </c>
      <c r="F51">
        <v>98493</v>
      </c>
      <c r="G51">
        <v>97482</v>
      </c>
      <c r="H51">
        <v>88663</v>
      </c>
      <c r="I51">
        <v>66466</v>
      </c>
      <c r="J51">
        <v>65640</v>
      </c>
      <c r="K51">
        <v>55839</v>
      </c>
      <c r="L51">
        <v>55728</v>
      </c>
      <c r="M51">
        <v>54125</v>
      </c>
    </row>
    <row r="52" spans="1:13" x14ac:dyDescent="0.35">
      <c r="A52" s="128"/>
      <c r="B52" s="120" t="s">
        <v>19</v>
      </c>
      <c r="C52" t="s">
        <v>52</v>
      </c>
      <c r="D52" t="s">
        <v>8</v>
      </c>
      <c r="E52" t="s">
        <v>10</v>
      </c>
      <c r="F52" t="s">
        <v>9</v>
      </c>
      <c r="G52" t="s">
        <v>32</v>
      </c>
      <c r="H52" t="s">
        <v>27</v>
      </c>
      <c r="I52" t="s">
        <v>13</v>
      </c>
      <c r="J52" t="s">
        <v>33</v>
      </c>
      <c r="K52" t="s">
        <v>7</v>
      </c>
      <c r="L52" t="s">
        <v>16</v>
      </c>
      <c r="M52" t="s">
        <v>143</v>
      </c>
    </row>
    <row r="53" spans="1:13" s="51" customFormat="1" x14ac:dyDescent="0.35">
      <c r="A53" s="128"/>
      <c r="B53" s="120"/>
      <c r="C53" s="51" t="s">
        <v>53</v>
      </c>
      <c r="D53">
        <v>31772</v>
      </c>
      <c r="E53">
        <v>27355</v>
      </c>
      <c r="F53">
        <v>26327</v>
      </c>
      <c r="G53">
        <v>21129</v>
      </c>
      <c r="H53">
        <v>20690</v>
      </c>
      <c r="I53">
        <v>17988</v>
      </c>
      <c r="J53">
        <v>15080</v>
      </c>
      <c r="K53">
        <v>13590</v>
      </c>
      <c r="L53">
        <v>12647</v>
      </c>
      <c r="M53">
        <v>10427</v>
      </c>
    </row>
    <row r="54" spans="1:13" x14ac:dyDescent="0.35">
      <c r="A54" s="128"/>
      <c r="B54" s="120" t="s">
        <v>20</v>
      </c>
      <c r="C54" t="s">
        <v>52</v>
      </c>
      <c r="D54" t="s">
        <v>10</v>
      </c>
      <c r="E54" t="s">
        <v>8</v>
      </c>
      <c r="F54" t="s">
        <v>9</v>
      </c>
      <c r="G54" t="s">
        <v>7</v>
      </c>
      <c r="H54" t="s">
        <v>32</v>
      </c>
      <c r="I54" t="s">
        <v>13</v>
      </c>
      <c r="J54" t="s">
        <v>27</v>
      </c>
      <c r="K54" t="s">
        <v>33</v>
      </c>
      <c r="L54" t="s">
        <v>11</v>
      </c>
      <c r="M54" t="s">
        <v>16</v>
      </c>
    </row>
    <row r="55" spans="1:13" s="51" customFormat="1" x14ac:dyDescent="0.35">
      <c r="A55" s="128"/>
      <c r="B55" s="120"/>
      <c r="C55" s="51" t="s">
        <v>53</v>
      </c>
      <c r="D55">
        <v>37972</v>
      </c>
      <c r="E55">
        <v>37247</v>
      </c>
      <c r="F55">
        <v>27832</v>
      </c>
      <c r="G55">
        <v>23226</v>
      </c>
      <c r="H55">
        <v>20169</v>
      </c>
      <c r="I55">
        <v>19036</v>
      </c>
      <c r="J55">
        <v>17369</v>
      </c>
      <c r="K55">
        <v>13888</v>
      </c>
      <c r="L55">
        <v>13619</v>
      </c>
      <c r="M55">
        <v>13082</v>
      </c>
    </row>
    <row r="56" spans="1:13" x14ac:dyDescent="0.35">
      <c r="A56" s="128"/>
      <c r="B56" s="120" t="s">
        <v>21</v>
      </c>
      <c r="C56" t="s">
        <v>52</v>
      </c>
      <c r="D56" t="s">
        <v>8</v>
      </c>
      <c r="E56" t="s">
        <v>7</v>
      </c>
      <c r="F56" t="s">
        <v>10</v>
      </c>
      <c r="G56" t="s">
        <v>9</v>
      </c>
      <c r="H56" t="s">
        <v>11</v>
      </c>
      <c r="I56" t="s">
        <v>13</v>
      </c>
      <c r="J56" t="s">
        <v>14</v>
      </c>
      <c r="K56" t="s">
        <v>32</v>
      </c>
      <c r="L56" t="s">
        <v>16</v>
      </c>
      <c r="M56" t="s">
        <v>27</v>
      </c>
    </row>
    <row r="57" spans="1:13" s="51" customFormat="1" x14ac:dyDescent="0.35">
      <c r="A57" s="128"/>
      <c r="B57" s="120"/>
      <c r="C57" s="51" t="s">
        <v>53</v>
      </c>
      <c r="D57">
        <v>44152</v>
      </c>
      <c r="E57">
        <v>40144</v>
      </c>
      <c r="F57">
        <v>40100</v>
      </c>
      <c r="G57">
        <v>24694</v>
      </c>
      <c r="H57">
        <v>20271</v>
      </c>
      <c r="I57">
        <v>19456</v>
      </c>
      <c r="J57">
        <v>18186</v>
      </c>
      <c r="K57">
        <v>17306</v>
      </c>
      <c r="L57">
        <v>14221</v>
      </c>
      <c r="M57">
        <v>13687</v>
      </c>
    </row>
    <row r="58" spans="1:13" x14ac:dyDescent="0.35">
      <c r="A58" s="128"/>
      <c r="B58" s="120" t="s">
        <v>22</v>
      </c>
      <c r="C58" t="s">
        <v>52</v>
      </c>
      <c r="D58" t="s">
        <v>7</v>
      </c>
      <c r="E58" t="s">
        <v>8</v>
      </c>
      <c r="F58" t="s">
        <v>10</v>
      </c>
      <c r="G58" t="s">
        <v>11</v>
      </c>
      <c r="H58" t="s">
        <v>9</v>
      </c>
      <c r="I58" t="s">
        <v>14</v>
      </c>
      <c r="J58" t="s">
        <v>34</v>
      </c>
      <c r="K58" t="s">
        <v>13</v>
      </c>
      <c r="L58" t="s">
        <v>15</v>
      </c>
      <c r="M58" t="s">
        <v>114</v>
      </c>
    </row>
    <row r="59" spans="1:13" s="51" customFormat="1" x14ac:dyDescent="0.35">
      <c r="A59" s="128"/>
      <c r="B59" s="120"/>
      <c r="C59" s="51" t="s">
        <v>53</v>
      </c>
      <c r="D59">
        <v>54013</v>
      </c>
      <c r="E59">
        <v>41902</v>
      </c>
      <c r="F59">
        <v>29709</v>
      </c>
      <c r="G59">
        <v>20965</v>
      </c>
      <c r="H59">
        <v>14518</v>
      </c>
      <c r="I59">
        <v>14263</v>
      </c>
      <c r="J59">
        <v>13287</v>
      </c>
      <c r="K59">
        <v>13204</v>
      </c>
      <c r="L59">
        <v>12565</v>
      </c>
      <c r="M59">
        <v>11219</v>
      </c>
    </row>
    <row r="60" spans="1:13" x14ac:dyDescent="0.35">
      <c r="A60" s="128"/>
      <c r="B60" s="120" t="s">
        <v>23</v>
      </c>
      <c r="C60" t="s">
        <v>52</v>
      </c>
      <c r="D60" t="s">
        <v>7</v>
      </c>
      <c r="E60" t="s">
        <v>8</v>
      </c>
      <c r="F60" t="s">
        <v>10</v>
      </c>
      <c r="G60" t="s">
        <v>11</v>
      </c>
      <c r="H60" t="s">
        <v>34</v>
      </c>
      <c r="I60" t="s">
        <v>15</v>
      </c>
      <c r="J60" t="s">
        <v>14</v>
      </c>
      <c r="K60" t="s">
        <v>13</v>
      </c>
      <c r="L60" t="s">
        <v>35</v>
      </c>
      <c r="M60" t="s">
        <v>12</v>
      </c>
    </row>
    <row r="61" spans="1:13" s="51" customFormat="1" x14ac:dyDescent="0.35">
      <c r="A61" s="128"/>
      <c r="B61" s="120"/>
      <c r="C61" s="51" t="s">
        <v>53</v>
      </c>
      <c r="D61">
        <v>57289</v>
      </c>
      <c r="E61">
        <v>37237</v>
      </c>
      <c r="F61">
        <v>21783</v>
      </c>
      <c r="G61">
        <v>18439</v>
      </c>
      <c r="H61">
        <v>13420</v>
      </c>
      <c r="I61">
        <v>10697</v>
      </c>
      <c r="J61">
        <v>9902</v>
      </c>
      <c r="K61">
        <v>8734</v>
      </c>
      <c r="L61">
        <v>8327</v>
      </c>
      <c r="M61">
        <v>6838</v>
      </c>
    </row>
    <row r="62" spans="1:13" x14ac:dyDescent="0.35">
      <c r="A62" s="128"/>
      <c r="B62" s="120" t="s">
        <v>24</v>
      </c>
      <c r="C62" t="s">
        <v>52</v>
      </c>
      <c r="D62" t="s">
        <v>7</v>
      </c>
      <c r="E62" t="s">
        <v>8</v>
      </c>
      <c r="F62" t="s">
        <v>10</v>
      </c>
      <c r="G62" t="s">
        <v>11</v>
      </c>
      <c r="H62" t="s">
        <v>34</v>
      </c>
      <c r="I62" t="s">
        <v>15</v>
      </c>
      <c r="J62" t="s">
        <v>14</v>
      </c>
      <c r="K62" t="s">
        <v>128</v>
      </c>
      <c r="L62" t="s">
        <v>35</v>
      </c>
      <c r="M62" t="s">
        <v>36</v>
      </c>
    </row>
    <row r="63" spans="1:13" s="51" customFormat="1" x14ac:dyDescent="0.35">
      <c r="A63" s="128"/>
      <c r="B63" s="120"/>
      <c r="C63" s="51" t="s">
        <v>53</v>
      </c>
      <c r="D63">
        <v>43320</v>
      </c>
      <c r="E63">
        <v>23443</v>
      </c>
      <c r="F63">
        <v>11516</v>
      </c>
      <c r="G63">
        <v>10873</v>
      </c>
      <c r="H63">
        <v>7962</v>
      </c>
      <c r="I63">
        <v>5924</v>
      </c>
      <c r="J63">
        <v>4762</v>
      </c>
      <c r="K63">
        <v>4752</v>
      </c>
      <c r="L63">
        <v>4573</v>
      </c>
      <c r="M63">
        <v>4245</v>
      </c>
    </row>
    <row r="64" spans="1:13" x14ac:dyDescent="0.35">
      <c r="A64" s="128"/>
      <c r="B64" s="120" t="s">
        <v>25</v>
      </c>
      <c r="C64" t="s">
        <v>52</v>
      </c>
      <c r="D64" t="s">
        <v>7</v>
      </c>
      <c r="E64" t="s">
        <v>8</v>
      </c>
      <c r="F64" t="s">
        <v>10</v>
      </c>
      <c r="G64" t="s">
        <v>11</v>
      </c>
      <c r="H64" t="s">
        <v>34</v>
      </c>
      <c r="I64" t="s">
        <v>128</v>
      </c>
      <c r="J64" t="s">
        <v>15</v>
      </c>
      <c r="K64" t="s">
        <v>36</v>
      </c>
      <c r="L64" t="s">
        <v>35</v>
      </c>
      <c r="M64" t="s">
        <v>14</v>
      </c>
    </row>
    <row r="65" spans="1:13" s="51" customFormat="1" x14ac:dyDescent="0.35">
      <c r="A65" s="128"/>
      <c r="B65" s="120"/>
      <c r="C65" s="51" t="s">
        <v>53</v>
      </c>
      <c r="D65">
        <v>15950</v>
      </c>
      <c r="E65">
        <v>9547</v>
      </c>
      <c r="F65">
        <v>4014</v>
      </c>
      <c r="G65">
        <v>3819</v>
      </c>
      <c r="H65">
        <v>2715</v>
      </c>
      <c r="I65">
        <v>2103</v>
      </c>
      <c r="J65">
        <v>1971</v>
      </c>
      <c r="K65">
        <v>1712</v>
      </c>
      <c r="L65">
        <v>1573</v>
      </c>
      <c r="M65">
        <v>1532</v>
      </c>
    </row>
    <row r="66" spans="1:13" x14ac:dyDescent="0.35">
      <c r="A66" s="128"/>
      <c r="B66" s="120" t="s">
        <v>26</v>
      </c>
      <c r="C66" t="s">
        <v>52</v>
      </c>
      <c r="D66" t="s">
        <v>7</v>
      </c>
      <c r="E66" t="s">
        <v>8</v>
      </c>
      <c r="F66" t="s">
        <v>10</v>
      </c>
      <c r="G66" t="s">
        <v>11</v>
      </c>
      <c r="H66" t="s">
        <v>34</v>
      </c>
      <c r="I66" t="s">
        <v>128</v>
      </c>
      <c r="J66" t="s">
        <v>36</v>
      </c>
      <c r="K66" t="s">
        <v>15</v>
      </c>
      <c r="L66" t="s">
        <v>113</v>
      </c>
      <c r="M66" t="s">
        <v>35</v>
      </c>
    </row>
    <row r="67" spans="1:13" s="51" customFormat="1" x14ac:dyDescent="0.35">
      <c r="A67" s="128"/>
      <c r="B67" s="120"/>
      <c r="C67" s="51" t="s">
        <v>53</v>
      </c>
      <c r="D67">
        <v>2672</v>
      </c>
      <c r="E67">
        <v>2075</v>
      </c>
      <c r="F67">
        <v>677</v>
      </c>
      <c r="G67">
        <v>666</v>
      </c>
      <c r="H67">
        <v>416</v>
      </c>
      <c r="I67">
        <v>405</v>
      </c>
      <c r="J67">
        <v>389</v>
      </c>
      <c r="K67">
        <v>280</v>
      </c>
      <c r="L67">
        <v>253</v>
      </c>
      <c r="M67">
        <v>250</v>
      </c>
    </row>
    <row r="68" spans="1:13" s="7" customFormat="1" x14ac:dyDescent="0.35">
      <c r="A68" s="128"/>
      <c r="B68" s="120" t="s">
        <v>3</v>
      </c>
      <c r="C68" s="7" t="s">
        <v>52</v>
      </c>
      <c r="D68" t="s">
        <v>8</v>
      </c>
      <c r="E68" t="s">
        <v>7</v>
      </c>
      <c r="F68" t="s">
        <v>27</v>
      </c>
      <c r="G68" t="s">
        <v>28</v>
      </c>
      <c r="H68" t="s">
        <v>10</v>
      </c>
      <c r="I68" t="s">
        <v>29</v>
      </c>
      <c r="J68" t="s">
        <v>100</v>
      </c>
      <c r="K68" t="s">
        <v>9</v>
      </c>
      <c r="L68" t="s">
        <v>32</v>
      </c>
      <c r="M68" t="s">
        <v>31</v>
      </c>
    </row>
    <row r="69" spans="1:13" s="51" customFormat="1" x14ac:dyDescent="0.35">
      <c r="A69" s="131"/>
      <c r="B69" s="132"/>
      <c r="C69" s="52" t="s">
        <v>53</v>
      </c>
      <c r="D69" s="59">
        <v>317105</v>
      </c>
      <c r="E69" s="59">
        <v>262052</v>
      </c>
      <c r="F69" s="59">
        <v>246913</v>
      </c>
      <c r="G69" s="59">
        <v>224765</v>
      </c>
      <c r="H69" s="59">
        <v>211719</v>
      </c>
      <c r="I69" s="59">
        <v>181530</v>
      </c>
      <c r="J69" s="59">
        <v>161101</v>
      </c>
      <c r="K69" s="59">
        <v>158445</v>
      </c>
      <c r="L69" s="59">
        <v>145485</v>
      </c>
      <c r="M69" s="59">
        <v>143782</v>
      </c>
    </row>
    <row r="70" spans="1:13" x14ac:dyDescent="0.35">
      <c r="A70" t="s">
        <v>89</v>
      </c>
      <c r="C70"/>
    </row>
    <row r="71" spans="1:13" x14ac:dyDescent="0.35">
      <c r="A71" t="s">
        <v>99</v>
      </c>
      <c r="C71"/>
    </row>
    <row r="72" spans="1:13" x14ac:dyDescent="0.35">
      <c r="A72" t="s">
        <v>144</v>
      </c>
      <c r="C72"/>
    </row>
    <row r="73" spans="1:13" x14ac:dyDescent="0.35">
      <c r="A73" t="s">
        <v>145</v>
      </c>
      <c r="C73"/>
    </row>
    <row r="74" spans="1:13" x14ac:dyDescent="0.35">
      <c r="A74" t="s">
        <v>146</v>
      </c>
      <c r="C74"/>
    </row>
    <row r="75" spans="1:13" x14ac:dyDescent="0.35">
      <c r="A75" t="s">
        <v>119</v>
      </c>
      <c r="C75"/>
    </row>
    <row r="76" spans="1:13" x14ac:dyDescent="0.35">
      <c r="C76"/>
    </row>
    <row r="77" spans="1:13" x14ac:dyDescent="0.35">
      <c r="A77" s="114" t="s">
        <v>149</v>
      </c>
      <c r="C77"/>
    </row>
    <row r="78" spans="1:13" x14ac:dyDescent="0.35">
      <c r="C78"/>
    </row>
    <row r="79" spans="1:13" x14ac:dyDescent="0.35">
      <c r="C79"/>
    </row>
    <row r="80" spans="1:13" x14ac:dyDescent="0.35">
      <c r="C80"/>
    </row>
    <row r="81" spans="3:3" x14ac:dyDescent="0.35">
      <c r="C81"/>
    </row>
    <row r="82" spans="3:3" x14ac:dyDescent="0.35">
      <c r="C82"/>
    </row>
    <row r="83" spans="3:3" x14ac:dyDescent="0.35">
      <c r="C83"/>
    </row>
    <row r="84" spans="3:3" x14ac:dyDescent="0.35">
      <c r="C84"/>
    </row>
    <row r="85" spans="3:3" x14ac:dyDescent="0.35">
      <c r="C85"/>
    </row>
    <row r="86" spans="3:3" x14ac:dyDescent="0.35">
      <c r="C86"/>
    </row>
    <row r="87" spans="3:3" x14ac:dyDescent="0.35">
      <c r="C87"/>
    </row>
    <row r="88" spans="3:3" x14ac:dyDescent="0.35">
      <c r="C88"/>
    </row>
    <row r="89" spans="3:3" x14ac:dyDescent="0.35">
      <c r="C89"/>
    </row>
    <row r="90" spans="3:3" x14ac:dyDescent="0.35">
      <c r="C90"/>
    </row>
    <row r="91" spans="3:3" x14ac:dyDescent="0.35">
      <c r="C91"/>
    </row>
    <row r="92" spans="3:3" x14ac:dyDescent="0.35">
      <c r="C92"/>
    </row>
    <row r="93" spans="3:3" x14ac:dyDescent="0.35">
      <c r="C93"/>
    </row>
    <row r="94" spans="3:3" x14ac:dyDescent="0.35">
      <c r="C94"/>
    </row>
    <row r="95" spans="3:3" x14ac:dyDescent="0.35">
      <c r="C95"/>
    </row>
    <row r="96" spans="3:3" x14ac:dyDescent="0.35">
      <c r="C96"/>
    </row>
    <row r="97" spans="3:3" x14ac:dyDescent="0.35">
      <c r="C97"/>
    </row>
    <row r="98" spans="3:3" x14ac:dyDescent="0.35">
      <c r="C98"/>
    </row>
    <row r="99" spans="3:3" x14ac:dyDescent="0.35">
      <c r="C99"/>
    </row>
    <row r="100" spans="3:3" x14ac:dyDescent="0.35">
      <c r="C100"/>
    </row>
  </sheetData>
  <mergeCells count="40">
    <mergeCell ref="A48:A69"/>
    <mergeCell ref="B54:B55"/>
    <mergeCell ref="B52:B53"/>
    <mergeCell ref="B66:B67"/>
    <mergeCell ref="B68:B69"/>
    <mergeCell ref="B56:B57"/>
    <mergeCell ref="B58:B59"/>
    <mergeCell ref="B50:B51"/>
    <mergeCell ref="B48:B49"/>
    <mergeCell ref="B60:B61"/>
    <mergeCell ref="B62:B63"/>
    <mergeCell ref="B64:B65"/>
    <mergeCell ref="A2:A3"/>
    <mergeCell ref="B46:B47"/>
    <mergeCell ref="A4:A25"/>
    <mergeCell ref="B4:B5"/>
    <mergeCell ref="A26:A47"/>
    <mergeCell ref="B26:B27"/>
    <mergeCell ref="B30:B31"/>
    <mergeCell ref="B44:B45"/>
    <mergeCell ref="B34:B35"/>
    <mergeCell ref="B36:B37"/>
    <mergeCell ref="B38:B39"/>
    <mergeCell ref="B40:B41"/>
    <mergeCell ref="B42:B43"/>
    <mergeCell ref="B32:B33"/>
    <mergeCell ref="B24:B25"/>
    <mergeCell ref="B28:B29"/>
    <mergeCell ref="D2:M2"/>
    <mergeCell ref="B6:B7"/>
    <mergeCell ref="B8:B9"/>
    <mergeCell ref="B10:B11"/>
    <mergeCell ref="B12:B13"/>
    <mergeCell ref="C2:C3"/>
    <mergeCell ref="B2:B3"/>
    <mergeCell ref="B14:B15"/>
    <mergeCell ref="B16:B17"/>
    <mergeCell ref="B18:B19"/>
    <mergeCell ref="B20:B21"/>
    <mergeCell ref="B22:B23"/>
  </mergeCells>
  <hyperlinks>
    <hyperlink ref="A77" location="Contents!A1" display="Back to contents page" xr:uid="{8AB91705-7BDF-40AE-93E4-6755C980703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5"/>
  <sheetViews>
    <sheetView zoomScaleNormal="100" workbookViewId="0"/>
  </sheetViews>
  <sheetFormatPr defaultColWidth="9.1796875" defaultRowHeight="14.5" x14ac:dyDescent="0.35"/>
  <cols>
    <col min="1" max="1" width="11.7265625" customWidth="1"/>
    <col min="2" max="2" width="13.1796875" style="4" customWidth="1"/>
    <col min="3" max="8" width="11.6328125" style="4" customWidth="1"/>
    <col min="9" max="9" width="2.90625" style="4" customWidth="1"/>
    <col min="10" max="10" width="14" style="70" customWidth="1"/>
    <col min="11" max="11" width="14" style="62" customWidth="1"/>
    <col min="12" max="12" width="14" style="70" customWidth="1"/>
    <col min="13" max="13" width="14" style="62" customWidth="1"/>
    <col min="14" max="14" width="14" style="70" customWidth="1"/>
    <col min="15" max="15" width="14" style="62" customWidth="1"/>
    <col min="16" max="16" width="2.08984375" style="62" customWidth="1"/>
    <col min="17" max="17" width="13.90625" style="70" customWidth="1"/>
    <col min="18" max="18" width="13.90625" style="62" customWidth="1"/>
    <col min="19" max="19" width="13.90625" style="70" customWidth="1"/>
    <col min="20" max="20" width="13.90625" style="62" customWidth="1"/>
    <col min="21" max="21" width="13.90625" style="70" customWidth="1"/>
    <col min="22" max="22" width="13.90625" style="62" customWidth="1"/>
    <col min="23" max="23" width="1.90625" style="62" customWidth="1"/>
    <col min="24" max="29" width="12.54296875" customWidth="1"/>
  </cols>
  <sheetData>
    <row r="1" spans="1:29" ht="15.5" x14ac:dyDescent="0.35">
      <c r="A1" s="113" t="s">
        <v>132</v>
      </c>
      <c r="B1" s="113"/>
      <c r="C1" s="113"/>
      <c r="D1" s="113"/>
      <c r="E1" s="113"/>
      <c r="F1" s="113"/>
      <c r="G1" s="113"/>
      <c r="H1" s="113"/>
      <c r="I1" s="113"/>
      <c r="J1" s="113"/>
      <c r="K1" s="113"/>
      <c r="L1" s="113"/>
      <c r="M1" s="113"/>
      <c r="N1" s="113"/>
    </row>
    <row r="2" spans="1:29" x14ac:dyDescent="0.35">
      <c r="A2" s="125" t="s">
        <v>0</v>
      </c>
      <c r="B2" s="123" t="s">
        <v>2</v>
      </c>
      <c r="C2" s="121">
        <v>2024</v>
      </c>
      <c r="D2" s="121"/>
      <c r="E2" s="121"/>
      <c r="F2" s="121"/>
      <c r="G2" s="121"/>
      <c r="H2" s="121"/>
      <c r="I2" s="115"/>
      <c r="J2" s="133">
        <v>2018</v>
      </c>
      <c r="K2" s="133"/>
      <c r="L2" s="133"/>
      <c r="M2" s="133"/>
      <c r="N2" s="133"/>
      <c r="O2" s="133"/>
      <c r="P2" s="117"/>
      <c r="Q2" s="133">
        <v>2015</v>
      </c>
      <c r="R2" s="133"/>
      <c r="S2" s="133"/>
      <c r="T2" s="133"/>
      <c r="U2" s="133"/>
      <c r="V2" s="133"/>
      <c r="W2" s="117"/>
      <c r="X2" s="133">
        <v>2011</v>
      </c>
      <c r="Y2" s="133"/>
      <c r="Z2" s="133"/>
      <c r="AA2" s="133"/>
      <c r="AB2" s="133"/>
      <c r="AC2" s="133"/>
    </row>
    <row r="3" spans="1:29" ht="58" x14ac:dyDescent="0.35">
      <c r="A3" s="126"/>
      <c r="B3" s="124"/>
      <c r="C3" s="80" t="s">
        <v>83</v>
      </c>
      <c r="D3" s="75" t="s">
        <v>84</v>
      </c>
      <c r="E3" s="80" t="s">
        <v>85</v>
      </c>
      <c r="F3" s="75" t="s">
        <v>86</v>
      </c>
      <c r="G3" s="80" t="s">
        <v>87</v>
      </c>
      <c r="H3" s="75" t="s">
        <v>59</v>
      </c>
      <c r="I3" s="116"/>
      <c r="J3" s="80" t="s">
        <v>83</v>
      </c>
      <c r="K3" s="75" t="s">
        <v>84</v>
      </c>
      <c r="L3" s="80" t="s">
        <v>85</v>
      </c>
      <c r="M3" s="75" t="s">
        <v>86</v>
      </c>
      <c r="N3" s="80" t="s">
        <v>87</v>
      </c>
      <c r="O3" s="75" t="s">
        <v>59</v>
      </c>
      <c r="P3" s="116"/>
      <c r="Q3" s="80" t="s">
        <v>83</v>
      </c>
      <c r="R3" s="75" t="s">
        <v>84</v>
      </c>
      <c r="S3" s="80" t="s">
        <v>85</v>
      </c>
      <c r="T3" s="75" t="s">
        <v>86</v>
      </c>
      <c r="U3" s="80" t="s">
        <v>87</v>
      </c>
      <c r="V3" s="75" t="s">
        <v>59</v>
      </c>
      <c r="W3" s="116"/>
      <c r="X3" s="80" t="s">
        <v>83</v>
      </c>
      <c r="Y3" s="75" t="s">
        <v>84</v>
      </c>
      <c r="Z3" s="80" t="s">
        <v>85</v>
      </c>
      <c r="AA3" s="75" t="s">
        <v>86</v>
      </c>
      <c r="AB3" s="80" t="s">
        <v>87</v>
      </c>
      <c r="AC3" s="75" t="s">
        <v>59</v>
      </c>
    </row>
    <row r="4" spans="1:29" x14ac:dyDescent="0.35">
      <c r="A4" s="134" t="s">
        <v>161</v>
      </c>
      <c r="B4" s="53" t="s">
        <v>17</v>
      </c>
      <c r="C4" s="76">
        <v>298</v>
      </c>
      <c r="D4" s="76">
        <v>0.1</v>
      </c>
      <c r="E4" s="81">
        <v>0</v>
      </c>
      <c r="F4" s="93">
        <v>0</v>
      </c>
      <c r="G4" s="81">
        <v>298</v>
      </c>
      <c r="H4" s="93">
        <v>0.1</v>
      </c>
      <c r="I4" s="93"/>
      <c r="J4" s="81">
        <v>249</v>
      </c>
      <c r="K4" s="93">
        <v>0</v>
      </c>
      <c r="L4" s="94">
        <v>0</v>
      </c>
      <c r="M4" s="98">
        <v>0</v>
      </c>
      <c r="N4" s="81">
        <v>249</v>
      </c>
      <c r="O4" s="93">
        <v>0</v>
      </c>
      <c r="P4" s="93"/>
      <c r="Q4" s="81">
        <v>441</v>
      </c>
      <c r="R4" s="93">
        <v>0.1</v>
      </c>
      <c r="S4" s="81">
        <v>0</v>
      </c>
      <c r="T4" s="76">
        <v>0</v>
      </c>
      <c r="U4" s="81">
        <v>441</v>
      </c>
      <c r="V4" s="76">
        <v>0.1</v>
      </c>
      <c r="W4" s="76"/>
      <c r="X4" s="81">
        <v>383</v>
      </c>
      <c r="Y4" s="93">
        <v>0.1</v>
      </c>
      <c r="Z4" s="81">
        <v>0</v>
      </c>
      <c r="AA4" s="76">
        <v>0</v>
      </c>
      <c r="AB4" s="81">
        <v>383</v>
      </c>
      <c r="AC4" s="76">
        <v>0.1</v>
      </c>
    </row>
    <row r="5" spans="1:29" x14ac:dyDescent="0.35">
      <c r="A5" s="135"/>
      <c r="B5" s="53" t="s">
        <v>63</v>
      </c>
      <c r="C5" s="84">
        <v>2634</v>
      </c>
      <c r="D5" s="76">
        <v>0.4</v>
      </c>
      <c r="E5" s="82">
        <v>2745</v>
      </c>
      <c r="F5" s="76">
        <v>0.5</v>
      </c>
      <c r="G5" s="82">
        <v>5379</v>
      </c>
      <c r="H5" s="76">
        <v>0.9</v>
      </c>
      <c r="I5" s="76"/>
      <c r="J5" s="82">
        <v>2743</v>
      </c>
      <c r="K5" s="84">
        <v>0.5</v>
      </c>
      <c r="L5" s="85">
        <v>2466</v>
      </c>
      <c r="M5" s="77">
        <v>0.4</v>
      </c>
      <c r="N5" s="85">
        <v>5209</v>
      </c>
      <c r="O5" s="77">
        <v>0.9</v>
      </c>
      <c r="P5" s="77"/>
      <c r="Q5" s="70">
        <v>1931</v>
      </c>
      <c r="R5" s="62">
        <v>0.4</v>
      </c>
      <c r="S5" s="70">
        <v>2353</v>
      </c>
      <c r="T5" s="62">
        <v>0.4</v>
      </c>
      <c r="U5" s="70">
        <v>4283</v>
      </c>
      <c r="V5" s="62">
        <v>0.8</v>
      </c>
      <c r="X5" s="70">
        <v>1835</v>
      </c>
      <c r="Y5" s="62">
        <v>0.4</v>
      </c>
      <c r="Z5" s="70">
        <v>2277</v>
      </c>
      <c r="AA5" s="62">
        <v>0.4</v>
      </c>
      <c r="AB5" s="70">
        <v>4112</v>
      </c>
      <c r="AC5" s="62">
        <v>0.8</v>
      </c>
    </row>
    <row r="6" spans="1:29" x14ac:dyDescent="0.35">
      <c r="A6" s="135"/>
      <c r="B6" s="53" t="s">
        <v>54</v>
      </c>
      <c r="C6" s="62">
        <v>3406</v>
      </c>
      <c r="D6" s="76">
        <v>5.2</v>
      </c>
      <c r="E6" s="70">
        <v>2951</v>
      </c>
      <c r="F6" s="76">
        <v>4.5</v>
      </c>
      <c r="G6" s="70">
        <v>6358</v>
      </c>
      <c r="H6" s="76">
        <v>9.6</v>
      </c>
      <c r="I6" s="76"/>
      <c r="J6" s="70">
        <v>2705</v>
      </c>
      <c r="K6" s="62">
        <v>4.5999999999999996</v>
      </c>
      <c r="L6" s="70">
        <v>2621</v>
      </c>
      <c r="M6" s="62">
        <v>4.4000000000000004</v>
      </c>
      <c r="N6" s="70">
        <v>5327</v>
      </c>
      <c r="O6" s="62">
        <v>9</v>
      </c>
      <c r="Q6" s="70">
        <v>3185</v>
      </c>
      <c r="R6" s="62">
        <v>5.6</v>
      </c>
      <c r="S6" s="70">
        <v>2543</v>
      </c>
      <c r="T6" s="62">
        <v>4.4000000000000004</v>
      </c>
      <c r="U6" s="70">
        <v>5728</v>
      </c>
      <c r="V6" s="62">
        <v>10</v>
      </c>
      <c r="X6" s="70">
        <v>1689</v>
      </c>
      <c r="Y6" s="62">
        <v>3.6</v>
      </c>
      <c r="Z6" s="70">
        <v>2101</v>
      </c>
      <c r="AA6" s="62">
        <v>4.4000000000000004</v>
      </c>
      <c r="AB6" s="70">
        <v>3790</v>
      </c>
      <c r="AC6" s="62">
        <v>8</v>
      </c>
    </row>
    <row r="7" spans="1:29" x14ac:dyDescent="0.35">
      <c r="A7" s="135"/>
      <c r="B7" s="53" t="s">
        <v>55</v>
      </c>
      <c r="C7" s="70">
        <v>6687</v>
      </c>
      <c r="D7" s="76">
        <v>11.8</v>
      </c>
      <c r="E7" s="70">
        <v>4082</v>
      </c>
      <c r="F7" s="76">
        <v>7.2</v>
      </c>
      <c r="G7" s="70">
        <v>10769</v>
      </c>
      <c r="H7" s="76">
        <v>19</v>
      </c>
      <c r="I7" s="76"/>
      <c r="J7" s="70">
        <v>5180</v>
      </c>
      <c r="K7" s="62">
        <v>10.4</v>
      </c>
      <c r="L7" s="70">
        <v>3583</v>
      </c>
      <c r="M7" s="62">
        <v>7.2</v>
      </c>
      <c r="N7" s="70">
        <v>8763</v>
      </c>
      <c r="O7" s="62">
        <v>17.600000000000001</v>
      </c>
      <c r="Q7" s="70">
        <v>4465</v>
      </c>
      <c r="R7" s="62">
        <v>10.7</v>
      </c>
      <c r="S7" s="70">
        <v>2978</v>
      </c>
      <c r="T7" s="62">
        <v>7.2</v>
      </c>
      <c r="U7" s="70">
        <v>7443</v>
      </c>
      <c r="V7" s="62">
        <v>17.899999999999999</v>
      </c>
      <c r="X7" s="70">
        <v>3118</v>
      </c>
      <c r="Y7" s="62">
        <v>8.6999999999999993</v>
      </c>
      <c r="Z7" s="70">
        <v>2551</v>
      </c>
      <c r="AA7" s="62">
        <v>7.1</v>
      </c>
      <c r="AB7" s="70">
        <v>5670</v>
      </c>
      <c r="AC7" s="62">
        <v>15.9</v>
      </c>
    </row>
    <row r="8" spans="1:29" x14ac:dyDescent="0.35">
      <c r="A8" s="135"/>
      <c r="B8" s="53" t="s">
        <v>56</v>
      </c>
      <c r="C8" s="70">
        <v>12720</v>
      </c>
      <c r="D8" s="76">
        <v>26.8</v>
      </c>
      <c r="E8" s="70">
        <v>5794</v>
      </c>
      <c r="F8" s="76">
        <v>12.2</v>
      </c>
      <c r="G8" s="70">
        <v>18514</v>
      </c>
      <c r="H8" s="76">
        <v>39</v>
      </c>
      <c r="I8" s="76"/>
      <c r="J8" s="70">
        <v>8013</v>
      </c>
      <c r="K8" s="62">
        <v>24.1</v>
      </c>
      <c r="L8" s="70">
        <v>4042</v>
      </c>
      <c r="M8" s="62">
        <v>12.1</v>
      </c>
      <c r="N8" s="70">
        <v>12055</v>
      </c>
      <c r="O8" s="62">
        <v>36.200000000000003</v>
      </c>
      <c r="Q8" s="70">
        <v>7121</v>
      </c>
      <c r="R8" s="62">
        <v>23.9</v>
      </c>
      <c r="S8" s="70">
        <v>3606</v>
      </c>
      <c r="T8" s="62">
        <v>12.1</v>
      </c>
      <c r="U8" s="70">
        <v>10727</v>
      </c>
      <c r="V8" s="62">
        <v>36</v>
      </c>
      <c r="X8" s="70">
        <v>6091</v>
      </c>
      <c r="Y8" s="62">
        <v>23.6</v>
      </c>
      <c r="Z8" s="70">
        <v>3119</v>
      </c>
      <c r="AA8" s="62">
        <v>12.1</v>
      </c>
      <c r="AB8" s="70">
        <v>9210</v>
      </c>
      <c r="AC8" s="62">
        <v>35.6</v>
      </c>
    </row>
    <row r="9" spans="1:29" x14ac:dyDescent="0.35">
      <c r="A9" s="135"/>
      <c r="B9" s="53" t="s">
        <v>57</v>
      </c>
      <c r="C9" s="70">
        <v>15734</v>
      </c>
      <c r="D9" s="76">
        <v>53.7</v>
      </c>
      <c r="E9" s="70">
        <v>7233</v>
      </c>
      <c r="F9" s="76">
        <v>24.7</v>
      </c>
      <c r="G9" s="70">
        <v>22967</v>
      </c>
      <c r="H9" s="76">
        <v>78.400000000000006</v>
      </c>
      <c r="I9" s="76"/>
      <c r="J9" s="70">
        <v>10805</v>
      </c>
      <c r="K9" s="62">
        <v>49.5</v>
      </c>
      <c r="L9" s="70">
        <v>5364</v>
      </c>
      <c r="M9" s="62">
        <v>24.6</v>
      </c>
      <c r="N9" s="70">
        <v>16168</v>
      </c>
      <c r="O9" s="62">
        <v>74.099999999999994</v>
      </c>
      <c r="Q9" s="70">
        <v>9483</v>
      </c>
      <c r="R9" s="62">
        <v>47.9</v>
      </c>
      <c r="S9" s="70">
        <v>4850</v>
      </c>
      <c r="T9" s="62">
        <v>24.5</v>
      </c>
      <c r="U9" s="70">
        <v>14333</v>
      </c>
      <c r="V9" s="62">
        <v>72.5</v>
      </c>
      <c r="X9" s="70">
        <v>8436</v>
      </c>
      <c r="Y9" s="62">
        <v>44.3</v>
      </c>
      <c r="Z9" s="70">
        <v>4661</v>
      </c>
      <c r="AA9" s="62">
        <v>24.5</v>
      </c>
      <c r="AB9" s="70">
        <v>13097</v>
      </c>
      <c r="AC9" s="62">
        <v>68.7</v>
      </c>
    </row>
    <row r="10" spans="1:29" x14ac:dyDescent="0.35">
      <c r="A10" s="135"/>
      <c r="B10" s="53" t="s">
        <v>58</v>
      </c>
      <c r="C10" s="70">
        <v>14741</v>
      </c>
      <c r="D10" s="76">
        <v>92.2</v>
      </c>
      <c r="E10" s="70">
        <v>6806</v>
      </c>
      <c r="F10" s="76">
        <v>42.6</v>
      </c>
      <c r="G10" s="70">
        <v>21547</v>
      </c>
      <c r="H10" s="76">
        <v>134.69999999999999</v>
      </c>
      <c r="I10" s="76"/>
      <c r="J10" s="70">
        <v>10510</v>
      </c>
      <c r="K10" s="62">
        <v>83.3</v>
      </c>
      <c r="L10" s="70">
        <v>5340</v>
      </c>
      <c r="M10" s="62">
        <v>42.3</v>
      </c>
      <c r="N10" s="70">
        <v>15850</v>
      </c>
      <c r="O10" s="62">
        <v>125.6</v>
      </c>
      <c r="Q10" s="70">
        <v>10262</v>
      </c>
      <c r="R10" s="62">
        <v>86</v>
      </c>
      <c r="S10" s="70">
        <v>5032</v>
      </c>
      <c r="T10" s="62">
        <v>42.2</v>
      </c>
      <c r="U10" s="70">
        <v>15294</v>
      </c>
      <c r="V10" s="62">
        <v>128.19999999999999</v>
      </c>
      <c r="X10" s="70">
        <v>7430</v>
      </c>
      <c r="Y10" s="62">
        <v>73.599999999999994</v>
      </c>
      <c r="Z10" s="70">
        <v>4253</v>
      </c>
      <c r="AA10" s="62">
        <v>42.1</v>
      </c>
      <c r="AB10" s="70">
        <v>11683</v>
      </c>
      <c r="AC10" s="62">
        <v>115.7</v>
      </c>
    </row>
    <row r="11" spans="1:29" x14ac:dyDescent="0.35">
      <c r="A11" s="135"/>
      <c r="B11" s="53" t="s">
        <v>60</v>
      </c>
      <c r="C11" s="70">
        <v>7836</v>
      </c>
      <c r="D11" s="76">
        <v>124.2</v>
      </c>
      <c r="E11" s="70">
        <v>4976</v>
      </c>
      <c r="F11" s="76">
        <v>78.900000000000006</v>
      </c>
      <c r="G11" s="70">
        <v>12812</v>
      </c>
      <c r="H11" s="76">
        <v>203</v>
      </c>
      <c r="I11" s="76"/>
      <c r="J11" s="70">
        <v>6119</v>
      </c>
      <c r="K11" s="62">
        <v>119.3</v>
      </c>
      <c r="L11" s="70">
        <v>4036</v>
      </c>
      <c r="M11" s="62">
        <v>78.7</v>
      </c>
      <c r="N11" s="70">
        <v>10155</v>
      </c>
      <c r="O11" s="62">
        <v>198</v>
      </c>
      <c r="Q11" s="70">
        <v>4370</v>
      </c>
      <c r="R11" s="62">
        <v>99.8</v>
      </c>
      <c r="S11" s="70">
        <v>3405</v>
      </c>
      <c r="T11" s="62">
        <v>77.7</v>
      </c>
      <c r="U11" s="70">
        <v>7776</v>
      </c>
      <c r="V11" s="62">
        <v>177.5</v>
      </c>
      <c r="X11" s="70">
        <v>3239</v>
      </c>
      <c r="Y11" s="62">
        <v>102.1</v>
      </c>
      <c r="Z11" s="70">
        <v>2465</v>
      </c>
      <c r="AA11" s="62">
        <v>77.7</v>
      </c>
      <c r="AB11" s="70">
        <v>5704</v>
      </c>
      <c r="AC11" s="62">
        <v>179.8</v>
      </c>
    </row>
    <row r="12" spans="1:29" x14ac:dyDescent="0.35">
      <c r="A12" s="135"/>
      <c r="B12" s="53" t="s">
        <v>61</v>
      </c>
      <c r="C12" s="70">
        <v>2342</v>
      </c>
      <c r="D12" s="76">
        <v>141.9</v>
      </c>
      <c r="E12" s="70">
        <v>1831</v>
      </c>
      <c r="F12" s="76">
        <v>110.9</v>
      </c>
      <c r="G12" s="70">
        <v>4172</v>
      </c>
      <c r="H12" s="76">
        <v>252.9</v>
      </c>
      <c r="I12" s="76"/>
      <c r="J12" s="70">
        <v>1337</v>
      </c>
      <c r="K12" s="62">
        <v>126.3</v>
      </c>
      <c r="L12" s="70">
        <v>1178</v>
      </c>
      <c r="M12" s="62">
        <v>111.3</v>
      </c>
      <c r="N12" s="70">
        <v>2515</v>
      </c>
      <c r="O12" s="62">
        <v>237.6</v>
      </c>
      <c r="Q12" s="70">
        <v>986</v>
      </c>
      <c r="R12" s="62">
        <v>123</v>
      </c>
      <c r="S12" s="70">
        <v>841</v>
      </c>
      <c r="T12" s="62">
        <v>104.9</v>
      </c>
      <c r="U12" s="70">
        <v>1827</v>
      </c>
      <c r="V12" s="62">
        <v>227.9</v>
      </c>
      <c r="X12" s="70">
        <v>681</v>
      </c>
      <c r="Y12" s="62">
        <v>116.3</v>
      </c>
      <c r="Z12" s="70">
        <v>616</v>
      </c>
      <c r="AA12" s="62">
        <v>105.2</v>
      </c>
      <c r="AB12" s="70">
        <v>1298</v>
      </c>
      <c r="AC12" s="62">
        <v>221.5</v>
      </c>
    </row>
    <row r="13" spans="1:29" x14ac:dyDescent="0.35">
      <c r="A13" s="135"/>
      <c r="B13" s="53" t="s">
        <v>62</v>
      </c>
      <c r="C13" s="70">
        <v>234</v>
      </c>
      <c r="D13" s="93">
        <v>130.1</v>
      </c>
      <c r="E13" s="70">
        <v>224</v>
      </c>
      <c r="F13" s="93">
        <v>124.6</v>
      </c>
      <c r="G13" s="70">
        <v>458</v>
      </c>
      <c r="H13" s="93">
        <v>254.7</v>
      </c>
      <c r="I13" s="93"/>
      <c r="J13" s="70">
        <v>107</v>
      </c>
      <c r="K13" s="62">
        <v>110.4</v>
      </c>
      <c r="L13" s="70">
        <v>122</v>
      </c>
      <c r="M13" s="62">
        <v>125.5</v>
      </c>
      <c r="N13" s="70">
        <v>229</v>
      </c>
      <c r="O13" s="62">
        <v>235.9</v>
      </c>
      <c r="Q13" s="70">
        <v>116</v>
      </c>
      <c r="R13" s="62">
        <v>154.80000000000001</v>
      </c>
      <c r="S13" s="70">
        <v>79</v>
      </c>
      <c r="T13" s="62">
        <v>105.8</v>
      </c>
      <c r="U13" s="70">
        <v>195</v>
      </c>
      <c r="V13" s="62">
        <v>260.60000000000002</v>
      </c>
      <c r="X13" s="70">
        <v>62</v>
      </c>
      <c r="Y13" s="62">
        <v>112.6</v>
      </c>
      <c r="Z13" s="70">
        <v>59</v>
      </c>
      <c r="AA13" s="62">
        <v>106.2</v>
      </c>
      <c r="AB13" s="70">
        <v>121</v>
      </c>
      <c r="AC13" s="62">
        <v>218.8</v>
      </c>
    </row>
    <row r="14" spans="1:29" x14ac:dyDescent="0.35">
      <c r="A14" s="135" t="s">
        <v>162</v>
      </c>
      <c r="B14" s="53" t="s">
        <v>17</v>
      </c>
      <c r="C14" s="82">
        <v>315</v>
      </c>
      <c r="D14" s="76">
        <v>0.1</v>
      </c>
      <c r="E14" s="82">
        <v>0</v>
      </c>
      <c r="F14" s="76">
        <v>0</v>
      </c>
      <c r="G14" s="82">
        <v>315</v>
      </c>
      <c r="H14" s="76">
        <v>0.1</v>
      </c>
      <c r="I14" s="76"/>
      <c r="J14" s="82">
        <v>381</v>
      </c>
      <c r="K14" s="73">
        <v>0.1</v>
      </c>
      <c r="L14" s="85">
        <v>0</v>
      </c>
      <c r="M14" s="97">
        <v>0</v>
      </c>
      <c r="N14" s="85">
        <v>381</v>
      </c>
      <c r="O14" s="74">
        <v>0.1</v>
      </c>
      <c r="P14" s="74"/>
      <c r="Q14" s="82">
        <v>425</v>
      </c>
      <c r="R14" s="73">
        <v>0.1</v>
      </c>
      <c r="S14" s="85">
        <v>0</v>
      </c>
      <c r="T14" s="77">
        <v>0</v>
      </c>
      <c r="U14" s="85">
        <v>425</v>
      </c>
      <c r="V14" s="74">
        <v>0.1</v>
      </c>
      <c r="W14" s="74"/>
      <c r="X14" s="82">
        <v>144</v>
      </c>
      <c r="Y14" s="73">
        <v>0</v>
      </c>
      <c r="Z14" s="85">
        <v>0</v>
      </c>
      <c r="AA14" s="77">
        <v>0</v>
      </c>
      <c r="AB14" s="85">
        <v>144</v>
      </c>
      <c r="AC14" s="74">
        <v>0</v>
      </c>
    </row>
    <row r="15" spans="1:29" x14ac:dyDescent="0.35">
      <c r="A15" s="135"/>
      <c r="B15" s="53" t="s">
        <v>63</v>
      </c>
      <c r="C15" s="70">
        <v>2652</v>
      </c>
      <c r="D15" s="76">
        <v>0.4</v>
      </c>
      <c r="E15" s="70">
        <v>3206</v>
      </c>
      <c r="F15" s="76">
        <v>0.5</v>
      </c>
      <c r="G15" s="70">
        <v>5858</v>
      </c>
      <c r="H15" s="76">
        <v>1</v>
      </c>
      <c r="I15" s="76"/>
      <c r="J15" s="70">
        <v>2309</v>
      </c>
      <c r="K15" s="62">
        <v>0.4</v>
      </c>
      <c r="L15" s="70">
        <v>2854</v>
      </c>
      <c r="M15" s="62">
        <v>0.5</v>
      </c>
      <c r="N15" s="70">
        <v>5162</v>
      </c>
      <c r="O15" s="62">
        <v>0.9</v>
      </c>
      <c r="Q15" s="70">
        <v>1901</v>
      </c>
      <c r="R15" s="62">
        <v>0.3</v>
      </c>
      <c r="S15" s="70">
        <v>2698</v>
      </c>
      <c r="T15" s="62">
        <v>0.5</v>
      </c>
      <c r="U15" s="70">
        <v>4599</v>
      </c>
      <c r="V15" s="62">
        <v>0.8</v>
      </c>
      <c r="X15" s="70">
        <v>2003</v>
      </c>
      <c r="Y15" s="62">
        <v>0.4</v>
      </c>
      <c r="Z15" s="70">
        <v>2549</v>
      </c>
      <c r="AA15" s="62">
        <v>0.5</v>
      </c>
      <c r="AB15" s="70">
        <v>4552</v>
      </c>
      <c r="AC15" s="62">
        <v>0.9</v>
      </c>
    </row>
    <row r="16" spans="1:29" x14ac:dyDescent="0.35">
      <c r="A16" s="135"/>
      <c r="B16" s="53" t="s">
        <v>54</v>
      </c>
      <c r="C16" s="70">
        <v>3275</v>
      </c>
      <c r="D16" s="76">
        <v>4.5999999999999996</v>
      </c>
      <c r="E16" s="70">
        <v>3957</v>
      </c>
      <c r="F16" s="76">
        <v>5.5</v>
      </c>
      <c r="G16" s="70">
        <v>7232</v>
      </c>
      <c r="H16" s="76">
        <v>10.1</v>
      </c>
      <c r="I16" s="76"/>
      <c r="J16" s="70">
        <v>2671</v>
      </c>
      <c r="K16" s="62">
        <v>4.3</v>
      </c>
      <c r="L16" s="70">
        <v>3402</v>
      </c>
      <c r="M16" s="62">
        <v>5.5</v>
      </c>
      <c r="N16" s="70">
        <v>6073</v>
      </c>
      <c r="O16" s="62">
        <v>9.8000000000000007</v>
      </c>
      <c r="Q16" s="70">
        <v>1964</v>
      </c>
      <c r="R16" s="62">
        <v>3.4</v>
      </c>
      <c r="S16" s="70">
        <v>3221</v>
      </c>
      <c r="T16" s="62">
        <v>5.5</v>
      </c>
      <c r="U16" s="70">
        <v>5185</v>
      </c>
      <c r="V16" s="62">
        <v>8.9</v>
      </c>
      <c r="X16" s="70">
        <v>1811</v>
      </c>
      <c r="Y16" s="62">
        <v>3.8</v>
      </c>
      <c r="Z16" s="70">
        <v>2656</v>
      </c>
      <c r="AA16" s="62">
        <v>5.5</v>
      </c>
      <c r="AB16" s="70">
        <v>4468</v>
      </c>
      <c r="AC16" s="62">
        <v>9.3000000000000007</v>
      </c>
    </row>
    <row r="17" spans="1:29" x14ac:dyDescent="0.35">
      <c r="A17" s="135"/>
      <c r="B17" s="53" t="s">
        <v>55</v>
      </c>
      <c r="C17" s="70">
        <v>6766</v>
      </c>
      <c r="D17" s="76">
        <v>10.9</v>
      </c>
      <c r="E17" s="70">
        <v>5691</v>
      </c>
      <c r="F17" s="76">
        <v>9.1999999999999993</v>
      </c>
      <c r="G17" s="70">
        <v>12457</v>
      </c>
      <c r="H17" s="76">
        <v>20.100000000000001</v>
      </c>
      <c r="I17" s="76"/>
      <c r="J17" s="70">
        <v>4776</v>
      </c>
      <c r="K17" s="62">
        <v>9.1999999999999993</v>
      </c>
      <c r="L17" s="70">
        <v>4730</v>
      </c>
      <c r="M17" s="62">
        <v>9.1</v>
      </c>
      <c r="N17" s="70">
        <v>9506</v>
      </c>
      <c r="O17" s="62">
        <v>18.3</v>
      </c>
      <c r="Q17" s="70">
        <v>4026</v>
      </c>
      <c r="R17" s="62">
        <v>9.3000000000000007</v>
      </c>
      <c r="S17" s="70">
        <v>3965</v>
      </c>
      <c r="T17" s="62">
        <v>9.1</v>
      </c>
      <c r="U17" s="70">
        <v>7991</v>
      </c>
      <c r="V17" s="62">
        <v>18.399999999999999</v>
      </c>
      <c r="X17" s="70">
        <v>3629</v>
      </c>
      <c r="Y17" s="62">
        <v>9.8000000000000007</v>
      </c>
      <c r="Z17" s="70">
        <v>3390</v>
      </c>
      <c r="AA17" s="62">
        <v>9.1999999999999993</v>
      </c>
      <c r="AB17" s="70">
        <v>7019</v>
      </c>
      <c r="AC17" s="62">
        <v>19</v>
      </c>
    </row>
    <row r="18" spans="1:29" x14ac:dyDescent="0.35">
      <c r="A18" s="135"/>
      <c r="B18" s="53" t="s">
        <v>56</v>
      </c>
      <c r="C18" s="70">
        <v>13339</v>
      </c>
      <c r="D18" s="76">
        <v>25.6</v>
      </c>
      <c r="E18" s="70">
        <v>8291</v>
      </c>
      <c r="F18" s="76">
        <v>15.9</v>
      </c>
      <c r="G18" s="70">
        <v>21630</v>
      </c>
      <c r="H18" s="76">
        <v>41.6</v>
      </c>
      <c r="I18" s="76"/>
      <c r="J18" s="70">
        <v>8370</v>
      </c>
      <c r="K18" s="62">
        <v>23</v>
      </c>
      <c r="L18" s="70">
        <v>5780</v>
      </c>
      <c r="M18" s="62">
        <v>15.9</v>
      </c>
      <c r="N18" s="70">
        <v>14149</v>
      </c>
      <c r="O18" s="62">
        <v>38.799999999999997</v>
      </c>
      <c r="Q18" s="70">
        <v>7523</v>
      </c>
      <c r="R18" s="62">
        <v>22.6</v>
      </c>
      <c r="S18" s="70">
        <v>5234</v>
      </c>
      <c r="T18" s="62">
        <v>15.7</v>
      </c>
      <c r="U18" s="70">
        <v>12756</v>
      </c>
      <c r="V18" s="62">
        <v>38.4</v>
      </c>
      <c r="X18" s="70">
        <v>6192</v>
      </c>
      <c r="Y18" s="62">
        <v>20.6</v>
      </c>
      <c r="Z18" s="70">
        <v>4719</v>
      </c>
      <c r="AA18" s="62">
        <v>15.7</v>
      </c>
      <c r="AB18" s="70">
        <v>10911</v>
      </c>
      <c r="AC18" s="62">
        <v>36.4</v>
      </c>
    </row>
    <row r="19" spans="1:29" x14ac:dyDescent="0.35">
      <c r="A19" s="135"/>
      <c r="B19" s="53" t="s">
        <v>57</v>
      </c>
      <c r="C19" s="70">
        <v>18413</v>
      </c>
      <c r="D19" s="76">
        <v>54.3</v>
      </c>
      <c r="E19" s="70">
        <v>12633</v>
      </c>
      <c r="F19" s="76">
        <v>37.200000000000003</v>
      </c>
      <c r="G19" s="70">
        <v>31046</v>
      </c>
      <c r="H19" s="76">
        <v>91.5</v>
      </c>
      <c r="I19" s="76"/>
      <c r="J19" s="70">
        <v>13016</v>
      </c>
      <c r="K19" s="62">
        <v>48.9</v>
      </c>
      <c r="L19" s="70">
        <v>9878</v>
      </c>
      <c r="M19" s="62">
        <v>37.1</v>
      </c>
      <c r="N19" s="70">
        <v>22895</v>
      </c>
      <c r="O19" s="62">
        <v>86</v>
      </c>
      <c r="Q19" s="70">
        <v>12465</v>
      </c>
      <c r="R19" s="62">
        <v>49.8</v>
      </c>
      <c r="S19" s="70">
        <v>9233</v>
      </c>
      <c r="T19" s="62">
        <v>36.9</v>
      </c>
      <c r="U19" s="70">
        <v>21697</v>
      </c>
      <c r="V19" s="62">
        <v>86.7</v>
      </c>
      <c r="X19" s="70">
        <v>11619</v>
      </c>
      <c r="Y19" s="62">
        <v>45.8</v>
      </c>
      <c r="Z19" s="70">
        <v>9339</v>
      </c>
      <c r="AA19" s="62">
        <v>36.799999999999997</v>
      </c>
      <c r="AB19" s="70">
        <v>20958</v>
      </c>
      <c r="AC19" s="62">
        <v>82.7</v>
      </c>
    </row>
    <row r="20" spans="1:29" x14ac:dyDescent="0.35">
      <c r="A20" s="135"/>
      <c r="B20" s="53" t="s">
        <v>58</v>
      </c>
      <c r="C20" s="70">
        <v>21221</v>
      </c>
      <c r="D20" s="76">
        <v>99.5</v>
      </c>
      <c r="E20" s="70">
        <v>14521</v>
      </c>
      <c r="F20" s="76">
        <v>68.099999999999994</v>
      </c>
      <c r="G20" s="70">
        <v>35742</v>
      </c>
      <c r="H20" s="76">
        <v>167.6</v>
      </c>
      <c r="I20" s="76"/>
      <c r="J20" s="70">
        <v>16833</v>
      </c>
      <c r="K20" s="62">
        <v>92.2</v>
      </c>
      <c r="L20" s="70">
        <v>12360</v>
      </c>
      <c r="M20" s="62">
        <v>67.7</v>
      </c>
      <c r="N20" s="70">
        <v>29193</v>
      </c>
      <c r="O20" s="62">
        <v>160</v>
      </c>
      <c r="Q20" s="70">
        <v>15692</v>
      </c>
      <c r="R20" s="62">
        <v>86.4</v>
      </c>
      <c r="S20" s="70">
        <v>12234</v>
      </c>
      <c r="T20" s="62">
        <v>67.400000000000006</v>
      </c>
      <c r="U20" s="70">
        <v>27926</v>
      </c>
      <c r="V20" s="62">
        <v>153.80000000000001</v>
      </c>
      <c r="X20" s="70">
        <v>13777</v>
      </c>
      <c r="Y20" s="62">
        <v>80.400000000000006</v>
      </c>
      <c r="Z20" s="70">
        <v>11522</v>
      </c>
      <c r="AA20" s="62">
        <v>67.2</v>
      </c>
      <c r="AB20" s="70">
        <v>25299</v>
      </c>
      <c r="AC20" s="62">
        <v>147.69999999999999</v>
      </c>
    </row>
    <row r="21" spans="1:29" x14ac:dyDescent="0.35">
      <c r="A21" s="135"/>
      <c r="B21" s="53" t="s">
        <v>60</v>
      </c>
      <c r="C21" s="70">
        <v>15463</v>
      </c>
      <c r="D21" s="76">
        <v>148.80000000000001</v>
      </c>
      <c r="E21" s="70">
        <v>15045</v>
      </c>
      <c r="F21" s="76">
        <v>144.80000000000001</v>
      </c>
      <c r="G21" s="70">
        <v>30508</v>
      </c>
      <c r="H21" s="76">
        <v>293.60000000000002</v>
      </c>
      <c r="I21" s="76"/>
      <c r="J21" s="70">
        <v>13044</v>
      </c>
      <c r="K21" s="62">
        <v>135.19999999999999</v>
      </c>
      <c r="L21" s="70">
        <v>13927</v>
      </c>
      <c r="M21" s="62">
        <v>144.30000000000001</v>
      </c>
      <c r="N21" s="70">
        <v>26970</v>
      </c>
      <c r="O21" s="62">
        <v>279.5</v>
      </c>
      <c r="Q21" s="70">
        <v>11937</v>
      </c>
      <c r="R21" s="62">
        <v>131.6</v>
      </c>
      <c r="S21" s="70">
        <v>12978</v>
      </c>
      <c r="T21" s="62">
        <v>143.1</v>
      </c>
      <c r="U21" s="70">
        <v>24914</v>
      </c>
      <c r="V21" s="62">
        <v>274.7</v>
      </c>
      <c r="X21" s="70">
        <v>8645</v>
      </c>
      <c r="Y21" s="62">
        <v>120.5</v>
      </c>
      <c r="Z21" s="70">
        <v>10218</v>
      </c>
      <c r="AA21" s="62">
        <v>142.4</v>
      </c>
      <c r="AB21" s="70">
        <v>18863</v>
      </c>
      <c r="AC21" s="62">
        <v>262.8</v>
      </c>
    </row>
    <row r="22" spans="1:29" x14ac:dyDescent="0.35">
      <c r="A22" s="135"/>
      <c r="B22" s="53" t="s">
        <v>61</v>
      </c>
      <c r="C22" s="70">
        <v>6542</v>
      </c>
      <c r="D22" s="93">
        <v>190.2</v>
      </c>
      <c r="E22" s="70">
        <v>5235</v>
      </c>
      <c r="F22" s="93">
        <v>152.19999999999999</v>
      </c>
      <c r="G22" s="70">
        <v>11777</v>
      </c>
      <c r="H22" s="93">
        <v>342.4</v>
      </c>
      <c r="I22" s="93"/>
      <c r="J22" s="70">
        <v>4846</v>
      </c>
      <c r="K22" s="62">
        <v>175.9</v>
      </c>
      <c r="L22" s="70">
        <v>4201</v>
      </c>
      <c r="M22" s="62">
        <v>152.4</v>
      </c>
      <c r="N22" s="70">
        <v>9047</v>
      </c>
      <c r="O22" s="62">
        <v>328.3</v>
      </c>
      <c r="Q22" s="70">
        <v>3670</v>
      </c>
      <c r="R22" s="62">
        <v>167.6</v>
      </c>
      <c r="S22" s="70">
        <v>3225</v>
      </c>
      <c r="T22" s="62">
        <v>147.30000000000001</v>
      </c>
      <c r="U22" s="70">
        <v>6895</v>
      </c>
      <c r="V22" s="62">
        <v>314.89999999999998</v>
      </c>
      <c r="X22" s="70">
        <v>3012</v>
      </c>
      <c r="Y22" s="62">
        <v>159.1</v>
      </c>
      <c r="Z22" s="70">
        <v>2771</v>
      </c>
      <c r="AA22" s="62">
        <v>146.4</v>
      </c>
      <c r="AB22" s="70">
        <v>5783</v>
      </c>
      <c r="AC22" s="62">
        <v>305.5</v>
      </c>
    </row>
    <row r="23" spans="1:29" x14ac:dyDescent="0.35">
      <c r="A23" s="135"/>
      <c r="B23" s="53" t="s">
        <v>62</v>
      </c>
      <c r="C23" s="70">
        <v>1269</v>
      </c>
      <c r="D23" s="76">
        <v>222.6</v>
      </c>
      <c r="E23" s="70">
        <v>945</v>
      </c>
      <c r="F23" s="76">
        <v>165.8</v>
      </c>
      <c r="G23" s="70">
        <v>2214</v>
      </c>
      <c r="H23" s="76">
        <v>388.3</v>
      </c>
      <c r="I23" s="76"/>
      <c r="J23" s="70">
        <v>644</v>
      </c>
      <c r="K23" s="62">
        <v>201.1</v>
      </c>
      <c r="L23" s="70">
        <v>530</v>
      </c>
      <c r="M23" s="62">
        <v>165.4</v>
      </c>
      <c r="N23" s="70">
        <v>1174</v>
      </c>
      <c r="O23" s="62">
        <v>366.4</v>
      </c>
      <c r="Q23" s="70">
        <v>588</v>
      </c>
      <c r="R23" s="62">
        <v>200.9</v>
      </c>
      <c r="S23" s="70">
        <v>472</v>
      </c>
      <c r="T23" s="62">
        <v>161.30000000000001</v>
      </c>
      <c r="U23" s="70">
        <v>1061</v>
      </c>
      <c r="V23" s="62">
        <v>362.2</v>
      </c>
      <c r="X23" s="70">
        <v>415</v>
      </c>
      <c r="Y23" s="62">
        <v>166.1</v>
      </c>
      <c r="Z23" s="70">
        <v>405</v>
      </c>
      <c r="AA23" s="62">
        <v>161.80000000000001</v>
      </c>
      <c r="AB23" s="70">
        <v>820</v>
      </c>
      <c r="AC23" s="62">
        <v>327.9</v>
      </c>
    </row>
    <row r="24" spans="1:29" x14ac:dyDescent="0.35">
      <c r="A24" s="135" t="s">
        <v>1</v>
      </c>
      <c r="B24" s="53" t="s">
        <v>17</v>
      </c>
      <c r="C24" s="83">
        <v>612</v>
      </c>
      <c r="D24" s="76">
        <v>0.1</v>
      </c>
      <c r="E24" s="83">
        <v>0</v>
      </c>
      <c r="F24" s="76">
        <v>0</v>
      </c>
      <c r="G24" s="83">
        <v>612</v>
      </c>
      <c r="H24" s="76">
        <v>0.1</v>
      </c>
      <c r="I24" s="76"/>
      <c r="J24" s="82">
        <v>630</v>
      </c>
      <c r="K24" s="73">
        <v>0.1</v>
      </c>
      <c r="L24" s="85">
        <v>0</v>
      </c>
      <c r="M24" s="97">
        <v>0</v>
      </c>
      <c r="N24" s="85">
        <v>630</v>
      </c>
      <c r="O24" s="74">
        <v>0.1</v>
      </c>
      <c r="P24" s="74"/>
      <c r="Q24" s="82">
        <v>866</v>
      </c>
      <c r="R24" s="73">
        <v>0.1</v>
      </c>
      <c r="S24" s="85">
        <v>0</v>
      </c>
      <c r="T24" s="77">
        <v>0</v>
      </c>
      <c r="U24" s="85">
        <v>866</v>
      </c>
      <c r="V24" s="74">
        <v>0.1</v>
      </c>
      <c r="W24" s="74"/>
      <c r="X24" s="82">
        <v>527</v>
      </c>
      <c r="Y24" s="73">
        <v>0.1</v>
      </c>
      <c r="Z24" s="85">
        <v>0</v>
      </c>
      <c r="AA24" s="77">
        <v>0</v>
      </c>
      <c r="AB24" s="85">
        <v>527</v>
      </c>
      <c r="AC24" s="74">
        <v>0.1</v>
      </c>
    </row>
    <row r="25" spans="1:29" x14ac:dyDescent="0.35">
      <c r="A25" s="135"/>
      <c r="B25" s="53" t="s">
        <v>63</v>
      </c>
      <c r="C25" s="81">
        <v>5286</v>
      </c>
      <c r="D25" s="76">
        <v>0.4</v>
      </c>
      <c r="E25" s="81">
        <v>5950</v>
      </c>
      <c r="F25" s="76">
        <v>0.5</v>
      </c>
      <c r="G25" s="81">
        <v>11237</v>
      </c>
      <c r="H25" s="76">
        <v>0.9</v>
      </c>
      <c r="I25" s="76"/>
      <c r="J25" s="70">
        <v>5051</v>
      </c>
      <c r="K25" s="62">
        <v>0.4</v>
      </c>
      <c r="L25" s="70">
        <v>5320</v>
      </c>
      <c r="M25" s="62">
        <v>0.5</v>
      </c>
      <c r="N25" s="70">
        <v>10371</v>
      </c>
      <c r="O25" s="62">
        <v>0.9</v>
      </c>
      <c r="Q25" s="82">
        <v>3832</v>
      </c>
      <c r="R25" s="84">
        <v>0.4</v>
      </c>
      <c r="S25" s="85">
        <v>5051</v>
      </c>
      <c r="T25" s="77">
        <v>0.5</v>
      </c>
      <c r="U25" s="85">
        <v>8883</v>
      </c>
      <c r="V25" s="77">
        <v>0.8</v>
      </c>
      <c r="W25" s="77"/>
      <c r="X25" s="82">
        <v>3838</v>
      </c>
      <c r="Y25" s="84">
        <v>0.4</v>
      </c>
      <c r="Z25" s="85">
        <v>4826</v>
      </c>
      <c r="AA25" s="77">
        <v>0.5</v>
      </c>
      <c r="AB25" s="85">
        <v>8663</v>
      </c>
      <c r="AC25" s="77">
        <v>0.8</v>
      </c>
    </row>
    <row r="26" spans="1:29" x14ac:dyDescent="0.35">
      <c r="A26" s="135"/>
      <c r="B26" s="53" t="s">
        <v>54</v>
      </c>
      <c r="C26" s="82">
        <v>6682</v>
      </c>
      <c r="D26" s="76">
        <v>4.9000000000000004</v>
      </c>
      <c r="E26" s="82">
        <v>6908</v>
      </c>
      <c r="F26" s="76">
        <v>5</v>
      </c>
      <c r="G26" s="82">
        <v>13590</v>
      </c>
      <c r="H26" s="76">
        <v>9.9</v>
      </c>
      <c r="I26" s="76"/>
      <c r="J26" s="70">
        <v>5377</v>
      </c>
      <c r="K26" s="62">
        <v>4.4000000000000004</v>
      </c>
      <c r="L26" s="70">
        <v>6023</v>
      </c>
      <c r="M26" s="62">
        <v>5</v>
      </c>
      <c r="N26" s="70">
        <v>11400</v>
      </c>
      <c r="O26" s="62">
        <v>9.4</v>
      </c>
      <c r="Q26" s="70">
        <v>5149</v>
      </c>
      <c r="R26" s="62">
        <v>4.5</v>
      </c>
      <c r="S26" s="70">
        <v>5764</v>
      </c>
      <c r="T26" s="62">
        <v>5</v>
      </c>
      <c r="U26" s="70">
        <v>10913</v>
      </c>
      <c r="V26" s="62">
        <v>9.4</v>
      </c>
      <c r="X26" s="70">
        <v>3500</v>
      </c>
      <c r="Y26" s="62">
        <v>3.7</v>
      </c>
      <c r="Z26" s="70">
        <v>4757</v>
      </c>
      <c r="AA26" s="62">
        <v>5</v>
      </c>
      <c r="AB26" s="70">
        <v>8257</v>
      </c>
      <c r="AC26" s="62">
        <v>8.6999999999999993</v>
      </c>
    </row>
    <row r="27" spans="1:29" x14ac:dyDescent="0.35">
      <c r="A27" s="135"/>
      <c r="B27" s="53" t="s">
        <v>55</v>
      </c>
      <c r="C27" s="70">
        <v>13452</v>
      </c>
      <c r="D27" s="76">
        <v>11.3</v>
      </c>
      <c r="E27" s="70">
        <v>9773</v>
      </c>
      <c r="F27" s="76">
        <v>8.1999999999999993</v>
      </c>
      <c r="G27" s="70">
        <v>23226</v>
      </c>
      <c r="H27" s="76">
        <v>19.600000000000001</v>
      </c>
      <c r="I27" s="76"/>
      <c r="J27" s="70">
        <v>9956</v>
      </c>
      <c r="K27" s="62">
        <v>9.8000000000000007</v>
      </c>
      <c r="L27" s="70">
        <v>8313</v>
      </c>
      <c r="M27" s="62">
        <v>8.1999999999999993</v>
      </c>
      <c r="N27" s="70">
        <v>18269</v>
      </c>
      <c r="O27" s="62">
        <v>18</v>
      </c>
      <c r="Q27" s="70">
        <v>8491</v>
      </c>
      <c r="R27" s="62">
        <v>10</v>
      </c>
      <c r="S27" s="70">
        <v>6944</v>
      </c>
      <c r="T27" s="62">
        <v>8.1999999999999993</v>
      </c>
      <c r="U27" s="70">
        <v>15434</v>
      </c>
      <c r="V27" s="62">
        <v>18.2</v>
      </c>
      <c r="X27" s="70">
        <v>6748</v>
      </c>
      <c r="Y27" s="62">
        <v>9.3000000000000007</v>
      </c>
      <c r="Z27" s="70">
        <v>5941</v>
      </c>
      <c r="AA27" s="62">
        <v>8.1999999999999993</v>
      </c>
      <c r="AB27" s="70">
        <v>12689</v>
      </c>
      <c r="AC27" s="62">
        <v>17.399999999999999</v>
      </c>
    </row>
    <row r="28" spans="1:29" x14ac:dyDescent="0.35">
      <c r="A28" s="135"/>
      <c r="B28" s="53" t="s">
        <v>56</v>
      </c>
      <c r="C28" s="70">
        <v>26059</v>
      </c>
      <c r="D28" s="76">
        <v>26.2</v>
      </c>
      <c r="E28" s="70">
        <v>14085</v>
      </c>
      <c r="F28" s="76">
        <v>14.1</v>
      </c>
      <c r="G28" s="70">
        <v>40144</v>
      </c>
      <c r="H28" s="76">
        <v>40.299999999999997</v>
      </c>
      <c r="I28" s="76"/>
      <c r="J28" s="70">
        <v>16382</v>
      </c>
      <c r="K28" s="62">
        <v>23.5</v>
      </c>
      <c r="L28" s="70">
        <v>9822</v>
      </c>
      <c r="M28" s="62">
        <v>14.1</v>
      </c>
      <c r="N28" s="70">
        <v>26204</v>
      </c>
      <c r="O28" s="62">
        <v>37.6</v>
      </c>
      <c r="Q28" s="70">
        <v>14644</v>
      </c>
      <c r="R28" s="62">
        <v>23.2</v>
      </c>
      <c r="S28" s="70">
        <v>8840</v>
      </c>
      <c r="T28" s="62">
        <v>14</v>
      </c>
      <c r="U28" s="70">
        <v>23483</v>
      </c>
      <c r="V28" s="62">
        <v>37.200000000000003</v>
      </c>
      <c r="X28" s="70">
        <v>12283</v>
      </c>
      <c r="Y28" s="62">
        <v>22</v>
      </c>
      <c r="Z28" s="70">
        <v>7839</v>
      </c>
      <c r="AA28" s="62">
        <v>14</v>
      </c>
      <c r="AB28" s="70">
        <v>20121</v>
      </c>
      <c r="AC28" s="62">
        <v>36</v>
      </c>
    </row>
    <row r="29" spans="1:29" x14ac:dyDescent="0.35">
      <c r="A29" s="135"/>
      <c r="B29" s="53" t="s">
        <v>57</v>
      </c>
      <c r="C29" s="70">
        <v>34147</v>
      </c>
      <c r="D29" s="76">
        <v>54</v>
      </c>
      <c r="E29" s="70">
        <v>19866</v>
      </c>
      <c r="F29" s="76">
        <v>31.4</v>
      </c>
      <c r="G29" s="70">
        <v>54013</v>
      </c>
      <c r="H29" s="76">
        <v>85.4</v>
      </c>
      <c r="I29" s="76"/>
      <c r="J29" s="70">
        <v>23821</v>
      </c>
      <c r="K29" s="62">
        <v>49.2</v>
      </c>
      <c r="L29" s="70">
        <v>15242</v>
      </c>
      <c r="M29" s="62">
        <v>31.5</v>
      </c>
      <c r="N29" s="70">
        <v>39063</v>
      </c>
      <c r="O29" s="62">
        <v>80.599999999999994</v>
      </c>
      <c r="Q29" s="70">
        <v>21948</v>
      </c>
      <c r="R29" s="62">
        <v>49</v>
      </c>
      <c r="S29" s="70">
        <v>14082</v>
      </c>
      <c r="T29" s="62">
        <v>31.4</v>
      </c>
      <c r="U29" s="70">
        <v>36030</v>
      </c>
      <c r="V29" s="62">
        <v>80.400000000000006</v>
      </c>
      <c r="X29" s="70">
        <v>20054</v>
      </c>
      <c r="Y29" s="62">
        <v>45.2</v>
      </c>
      <c r="Z29" s="70">
        <v>14000</v>
      </c>
      <c r="AA29" s="62">
        <v>31.5</v>
      </c>
      <c r="AB29" s="70">
        <v>34055</v>
      </c>
      <c r="AC29" s="62">
        <v>76.7</v>
      </c>
    </row>
    <row r="30" spans="1:29" x14ac:dyDescent="0.35">
      <c r="A30" s="135"/>
      <c r="B30" s="53" t="s">
        <v>58</v>
      </c>
      <c r="C30" s="70">
        <v>35962</v>
      </c>
      <c r="D30" s="76">
        <v>96.3</v>
      </c>
      <c r="E30" s="70">
        <v>21327</v>
      </c>
      <c r="F30" s="76">
        <v>57.1</v>
      </c>
      <c r="G30" s="70">
        <v>57289</v>
      </c>
      <c r="H30" s="76">
        <v>153.5</v>
      </c>
      <c r="I30" s="76"/>
      <c r="J30" s="70">
        <v>27343</v>
      </c>
      <c r="K30" s="62">
        <v>88.6</v>
      </c>
      <c r="L30" s="70">
        <v>17700</v>
      </c>
      <c r="M30" s="62">
        <v>57.3</v>
      </c>
      <c r="N30" s="70">
        <v>45043</v>
      </c>
      <c r="O30" s="62">
        <v>145.9</v>
      </c>
      <c r="Q30" s="70">
        <v>25954</v>
      </c>
      <c r="R30" s="62">
        <v>86.3</v>
      </c>
      <c r="S30" s="70">
        <v>17267</v>
      </c>
      <c r="T30" s="62">
        <v>57.4</v>
      </c>
      <c r="U30" s="70">
        <v>43220</v>
      </c>
      <c r="V30" s="62">
        <v>143.69999999999999</v>
      </c>
      <c r="X30" s="70">
        <v>21206</v>
      </c>
      <c r="Y30" s="62">
        <v>77.900000000000006</v>
      </c>
      <c r="Z30" s="70">
        <v>15775</v>
      </c>
      <c r="AA30" s="62">
        <v>57.9</v>
      </c>
      <c r="AB30" s="70">
        <v>36981</v>
      </c>
      <c r="AC30" s="62">
        <v>135.80000000000001</v>
      </c>
    </row>
    <row r="31" spans="1:29" x14ac:dyDescent="0.35">
      <c r="A31" s="135"/>
      <c r="B31" s="53" t="s">
        <v>60</v>
      </c>
      <c r="C31" s="70">
        <v>23299</v>
      </c>
      <c r="D31" s="93">
        <v>139.5</v>
      </c>
      <c r="E31" s="70">
        <v>20021</v>
      </c>
      <c r="F31" s="93">
        <v>119.9</v>
      </c>
      <c r="G31" s="70">
        <v>43320</v>
      </c>
      <c r="H31" s="93">
        <v>259.39999999999998</v>
      </c>
      <c r="I31" s="93"/>
      <c r="J31" s="70">
        <v>19163</v>
      </c>
      <c r="K31" s="62">
        <v>129.69999999999999</v>
      </c>
      <c r="L31" s="70">
        <v>17963</v>
      </c>
      <c r="M31" s="62">
        <v>121.5</v>
      </c>
      <c r="N31" s="70">
        <v>37125</v>
      </c>
      <c r="O31" s="62">
        <v>251.2</v>
      </c>
      <c r="Q31" s="70">
        <v>16307</v>
      </c>
      <c r="R31" s="62">
        <v>121.2</v>
      </c>
      <c r="S31" s="70">
        <v>16383</v>
      </c>
      <c r="T31" s="62">
        <v>121.8</v>
      </c>
      <c r="U31" s="70">
        <v>32690</v>
      </c>
      <c r="V31" s="62">
        <v>243</v>
      </c>
      <c r="X31" s="70">
        <v>11884</v>
      </c>
      <c r="Y31" s="62">
        <v>114.8</v>
      </c>
      <c r="Z31" s="70">
        <v>12683</v>
      </c>
      <c r="AA31" s="62">
        <v>122.5</v>
      </c>
      <c r="AB31" s="70">
        <v>24567</v>
      </c>
      <c r="AC31" s="62">
        <v>237.4</v>
      </c>
    </row>
    <row r="32" spans="1:29" x14ac:dyDescent="0.35">
      <c r="A32" s="135"/>
      <c r="B32" s="53" t="s">
        <v>61</v>
      </c>
      <c r="C32" s="70">
        <v>8884</v>
      </c>
      <c r="D32" s="76">
        <v>174.5</v>
      </c>
      <c r="E32" s="70">
        <v>7066</v>
      </c>
      <c r="F32" s="76">
        <v>138.80000000000001</v>
      </c>
      <c r="G32" s="70">
        <v>15950</v>
      </c>
      <c r="H32" s="76">
        <v>313.39999999999998</v>
      </c>
      <c r="I32" s="76"/>
      <c r="J32" s="70">
        <v>6183</v>
      </c>
      <c r="K32" s="62">
        <v>162.1</v>
      </c>
      <c r="L32" s="70">
        <v>5379</v>
      </c>
      <c r="M32" s="62">
        <v>141</v>
      </c>
      <c r="N32" s="70">
        <v>11562</v>
      </c>
      <c r="O32" s="62">
        <v>303.10000000000002</v>
      </c>
      <c r="Q32" s="70">
        <v>4656</v>
      </c>
      <c r="R32" s="62">
        <v>155.6</v>
      </c>
      <c r="S32" s="70">
        <v>4066</v>
      </c>
      <c r="T32" s="62">
        <v>135.9</v>
      </c>
      <c r="U32" s="70">
        <v>8722</v>
      </c>
      <c r="V32" s="62">
        <v>291.60000000000002</v>
      </c>
      <c r="X32" s="70">
        <v>3694</v>
      </c>
      <c r="Y32" s="62">
        <v>149</v>
      </c>
      <c r="Z32" s="70">
        <v>3387</v>
      </c>
      <c r="AA32" s="62">
        <v>136.6</v>
      </c>
      <c r="AB32" s="70">
        <v>7081</v>
      </c>
      <c r="AC32" s="62">
        <v>285.60000000000002</v>
      </c>
    </row>
    <row r="33" spans="1:29" x14ac:dyDescent="0.35">
      <c r="A33" s="136"/>
      <c r="B33" s="54" t="s">
        <v>62</v>
      </c>
      <c r="C33" s="71">
        <v>1503</v>
      </c>
      <c r="D33" s="112">
        <v>200.4</v>
      </c>
      <c r="E33" s="71">
        <v>1169</v>
      </c>
      <c r="F33" s="112">
        <v>155.9</v>
      </c>
      <c r="G33" s="71">
        <v>2672</v>
      </c>
      <c r="H33" s="112">
        <v>356.3</v>
      </c>
      <c r="I33" s="112"/>
      <c r="J33" s="71">
        <v>751</v>
      </c>
      <c r="K33" s="64">
        <v>180</v>
      </c>
      <c r="L33" s="71">
        <v>652</v>
      </c>
      <c r="M33" s="78">
        <v>156.1</v>
      </c>
      <c r="N33" s="71">
        <v>1403</v>
      </c>
      <c r="O33" s="64">
        <v>336.1</v>
      </c>
      <c r="P33" s="64"/>
      <c r="Q33" s="87">
        <v>704</v>
      </c>
      <c r="R33" s="89">
        <v>191.5</v>
      </c>
      <c r="S33" s="91">
        <v>552</v>
      </c>
      <c r="T33" s="78">
        <v>150</v>
      </c>
      <c r="U33" s="91">
        <v>1256</v>
      </c>
      <c r="V33" s="92">
        <v>341.5</v>
      </c>
      <c r="W33" s="92"/>
      <c r="X33" s="87">
        <v>477</v>
      </c>
      <c r="Y33" s="89">
        <v>156.4</v>
      </c>
      <c r="Z33" s="91">
        <v>463</v>
      </c>
      <c r="AA33" s="78">
        <v>151.69999999999999</v>
      </c>
      <c r="AB33" s="91">
        <v>940</v>
      </c>
      <c r="AC33" s="92">
        <v>308.2</v>
      </c>
    </row>
    <row r="34" spans="1:29" x14ac:dyDescent="0.35">
      <c r="A34" s="7" t="s">
        <v>121</v>
      </c>
      <c r="B34" s="53"/>
      <c r="C34" s="53"/>
      <c r="D34" s="53"/>
      <c r="E34" s="53"/>
      <c r="F34" s="53"/>
      <c r="G34" s="53"/>
      <c r="H34" s="53"/>
      <c r="I34" s="53"/>
      <c r="M34" s="79"/>
      <c r="Q34" s="86"/>
      <c r="R34" s="88"/>
      <c r="S34" s="90"/>
      <c r="T34" s="79"/>
      <c r="U34" s="90"/>
      <c r="V34" s="109"/>
      <c r="W34" s="109"/>
    </row>
    <row r="35" spans="1:29" x14ac:dyDescent="0.35">
      <c r="A35" s="7" t="s">
        <v>119</v>
      </c>
      <c r="B35" s="3"/>
      <c r="C35" s="3"/>
      <c r="D35" s="3"/>
      <c r="E35" s="3"/>
      <c r="F35" s="3"/>
      <c r="G35" s="3"/>
      <c r="H35" s="3"/>
      <c r="I35" s="3"/>
    </row>
    <row r="37" spans="1:29" x14ac:dyDescent="0.35">
      <c r="A37" s="114" t="s">
        <v>149</v>
      </c>
    </row>
    <row r="39" spans="1:29" x14ac:dyDescent="0.35">
      <c r="A39" s="4"/>
    </row>
    <row r="40" spans="1:29" x14ac:dyDescent="0.35">
      <c r="A40" s="4"/>
    </row>
    <row r="41" spans="1:29" x14ac:dyDescent="0.35">
      <c r="A41" s="4"/>
    </row>
    <row r="42" spans="1:29" x14ac:dyDescent="0.35">
      <c r="A42" s="4"/>
    </row>
    <row r="43" spans="1:29" x14ac:dyDescent="0.35">
      <c r="A43" s="4"/>
    </row>
    <row r="44" spans="1:29" x14ac:dyDescent="0.35">
      <c r="A44" s="4"/>
    </row>
    <row r="45" spans="1:29" x14ac:dyDescent="0.35">
      <c r="A45" s="4"/>
    </row>
    <row r="46" spans="1:29" x14ac:dyDescent="0.35">
      <c r="A46" s="4"/>
    </row>
    <row r="47" spans="1:29" x14ac:dyDescent="0.35">
      <c r="A47" s="4"/>
    </row>
    <row r="48" spans="1:29" x14ac:dyDescent="0.35">
      <c r="A48" s="4"/>
    </row>
    <row r="49" spans="1:23" x14ac:dyDescent="0.35">
      <c r="A49" s="4"/>
    </row>
    <row r="50" spans="1:23" x14ac:dyDescent="0.35">
      <c r="A50" s="4"/>
    </row>
    <row r="51" spans="1:23" x14ac:dyDescent="0.35">
      <c r="A51" s="4"/>
    </row>
    <row r="60" spans="1:23" x14ac:dyDescent="0.35">
      <c r="J60" s="86"/>
      <c r="K60" s="88"/>
      <c r="L60" s="90"/>
      <c r="M60" s="79"/>
      <c r="N60" s="90"/>
      <c r="O60" s="79"/>
      <c r="P60" s="79"/>
    </row>
    <row r="61" spans="1:23" x14ac:dyDescent="0.35">
      <c r="J61" s="86"/>
      <c r="K61" s="88"/>
      <c r="L61" s="90"/>
      <c r="M61" s="79"/>
      <c r="N61" s="90"/>
      <c r="O61" s="79"/>
      <c r="P61" s="79"/>
    </row>
    <row r="62" spans="1:23" x14ac:dyDescent="0.35">
      <c r="J62" s="86"/>
      <c r="K62" s="88"/>
      <c r="L62" s="90"/>
      <c r="M62" s="79"/>
      <c r="N62" s="90"/>
      <c r="O62" s="79"/>
      <c r="P62" s="79"/>
    </row>
    <row r="63" spans="1:23" x14ac:dyDescent="0.35">
      <c r="J63"/>
      <c r="K63"/>
      <c r="L63"/>
      <c r="M63"/>
      <c r="N63"/>
      <c r="O63"/>
      <c r="P63"/>
      <c r="Q63"/>
      <c r="R63"/>
      <c r="S63"/>
      <c r="T63"/>
      <c r="U63"/>
      <c r="V63"/>
      <c r="W63"/>
    </row>
    <row r="64" spans="1:23" x14ac:dyDescent="0.35">
      <c r="J64"/>
      <c r="K64"/>
      <c r="L64"/>
      <c r="M64"/>
      <c r="N64"/>
      <c r="O64"/>
      <c r="P64"/>
      <c r="Q64"/>
      <c r="R64"/>
      <c r="S64"/>
      <c r="T64"/>
      <c r="U64"/>
      <c r="V64"/>
      <c r="W64"/>
    </row>
    <row r="65" spans="10:23" x14ac:dyDescent="0.35">
      <c r="J65"/>
      <c r="K65"/>
      <c r="L65"/>
      <c r="M65"/>
      <c r="N65"/>
      <c r="O65"/>
      <c r="P65"/>
      <c r="Q65"/>
      <c r="R65"/>
      <c r="S65"/>
      <c r="T65"/>
      <c r="U65"/>
      <c r="V65"/>
      <c r="W65"/>
    </row>
    <row r="66" spans="10:23" x14ac:dyDescent="0.35">
      <c r="J66"/>
      <c r="K66"/>
      <c r="L66"/>
      <c r="M66"/>
      <c r="N66"/>
      <c r="O66"/>
      <c r="P66"/>
      <c r="Q66"/>
      <c r="R66"/>
      <c r="S66"/>
      <c r="T66"/>
      <c r="U66"/>
      <c r="V66"/>
      <c r="W66"/>
    </row>
    <row r="67" spans="10:23" x14ac:dyDescent="0.35">
      <c r="J67"/>
      <c r="K67"/>
      <c r="L67"/>
      <c r="M67"/>
      <c r="N67"/>
      <c r="O67"/>
      <c r="P67"/>
      <c r="Q67"/>
      <c r="R67"/>
      <c r="S67"/>
      <c r="T67"/>
      <c r="U67"/>
      <c r="V67"/>
      <c r="W67"/>
    </row>
    <row r="68" spans="10:23" x14ac:dyDescent="0.35">
      <c r="J68"/>
      <c r="K68"/>
      <c r="L68"/>
      <c r="M68"/>
      <c r="N68"/>
      <c r="O68"/>
      <c r="P68"/>
      <c r="Q68"/>
      <c r="R68"/>
      <c r="S68"/>
      <c r="T68"/>
      <c r="U68"/>
      <c r="V68"/>
      <c r="W68"/>
    </row>
    <row r="69" spans="10:23" x14ac:dyDescent="0.35">
      <c r="J69"/>
      <c r="K69"/>
      <c r="L69"/>
      <c r="M69"/>
      <c r="N69"/>
      <c r="O69"/>
      <c r="P69"/>
      <c r="Q69"/>
      <c r="R69"/>
      <c r="S69"/>
      <c r="T69"/>
      <c r="U69"/>
      <c r="V69"/>
      <c r="W69"/>
    </row>
    <row r="70" spans="10:23" x14ac:dyDescent="0.35">
      <c r="J70"/>
      <c r="K70"/>
      <c r="L70"/>
      <c r="M70"/>
      <c r="N70"/>
      <c r="O70"/>
      <c r="P70"/>
      <c r="Q70"/>
      <c r="R70"/>
      <c r="S70"/>
      <c r="T70"/>
      <c r="U70"/>
      <c r="V70"/>
      <c r="W70"/>
    </row>
    <row r="71" spans="10:23" x14ac:dyDescent="0.35">
      <c r="J71"/>
      <c r="K71"/>
      <c r="L71"/>
      <c r="M71"/>
      <c r="N71"/>
      <c r="O71"/>
      <c r="P71"/>
      <c r="Q71"/>
      <c r="R71"/>
      <c r="S71"/>
      <c r="T71"/>
      <c r="U71"/>
      <c r="V71"/>
      <c r="W71"/>
    </row>
    <row r="72" spans="10:23" x14ac:dyDescent="0.35">
      <c r="J72"/>
      <c r="K72"/>
      <c r="L72"/>
      <c r="M72"/>
      <c r="N72"/>
      <c r="O72"/>
      <c r="P72"/>
      <c r="Q72"/>
      <c r="R72"/>
      <c r="S72"/>
      <c r="T72"/>
      <c r="U72"/>
      <c r="V72"/>
      <c r="W72"/>
    </row>
    <row r="73" spans="10:23" x14ac:dyDescent="0.35">
      <c r="J73"/>
      <c r="K73"/>
      <c r="L73"/>
      <c r="M73"/>
      <c r="N73"/>
      <c r="O73"/>
      <c r="P73"/>
      <c r="Q73"/>
      <c r="R73"/>
      <c r="S73"/>
      <c r="T73"/>
      <c r="U73"/>
      <c r="V73"/>
      <c r="W73"/>
    </row>
    <row r="74" spans="10:23" x14ac:dyDescent="0.35">
      <c r="J74"/>
      <c r="K74"/>
      <c r="L74"/>
      <c r="M74"/>
      <c r="N74"/>
      <c r="O74"/>
      <c r="P74"/>
      <c r="Q74"/>
      <c r="R74"/>
      <c r="S74"/>
      <c r="T74"/>
      <c r="U74"/>
      <c r="V74"/>
      <c r="W74"/>
    </row>
    <row r="75" spans="10:23" x14ac:dyDescent="0.35">
      <c r="J75"/>
      <c r="K75"/>
      <c r="L75"/>
      <c r="M75"/>
      <c r="N75"/>
      <c r="O75"/>
      <c r="P75"/>
      <c r="Q75"/>
      <c r="R75"/>
      <c r="S75"/>
      <c r="T75"/>
      <c r="U75"/>
      <c r="V75"/>
      <c r="W75"/>
    </row>
    <row r="76" spans="10:23" x14ac:dyDescent="0.35">
      <c r="J76"/>
      <c r="K76"/>
      <c r="L76"/>
      <c r="M76"/>
      <c r="N76"/>
      <c r="O76"/>
      <c r="P76"/>
      <c r="Q76"/>
      <c r="R76"/>
      <c r="S76"/>
      <c r="T76"/>
      <c r="U76"/>
      <c r="V76"/>
      <c r="W76"/>
    </row>
    <row r="77" spans="10:23" x14ac:dyDescent="0.35">
      <c r="J77"/>
      <c r="K77"/>
      <c r="L77"/>
      <c r="M77"/>
      <c r="N77"/>
      <c r="O77"/>
      <c r="P77"/>
      <c r="Q77"/>
      <c r="R77"/>
      <c r="S77"/>
      <c r="T77"/>
      <c r="U77"/>
      <c r="V77"/>
      <c r="W77"/>
    </row>
    <row r="78" spans="10:23" x14ac:dyDescent="0.35">
      <c r="J78"/>
      <c r="K78"/>
      <c r="L78"/>
      <c r="M78"/>
      <c r="N78"/>
      <c r="O78"/>
      <c r="P78"/>
      <c r="Q78"/>
      <c r="R78"/>
      <c r="S78"/>
      <c r="T78"/>
      <c r="U78"/>
      <c r="V78"/>
      <c r="W78"/>
    </row>
    <row r="79" spans="10:23" x14ac:dyDescent="0.35">
      <c r="J79"/>
      <c r="K79"/>
      <c r="L79"/>
      <c r="M79"/>
      <c r="N79"/>
      <c r="O79"/>
      <c r="P79"/>
      <c r="Q79"/>
      <c r="R79"/>
      <c r="S79"/>
      <c r="T79"/>
      <c r="U79"/>
      <c r="V79"/>
      <c r="W79"/>
    </row>
    <row r="80" spans="10:23" x14ac:dyDescent="0.35">
      <c r="J80"/>
      <c r="K80"/>
      <c r="L80"/>
      <c r="M80"/>
      <c r="N80"/>
      <c r="O80"/>
      <c r="P80"/>
      <c r="Q80"/>
      <c r="R80"/>
      <c r="S80"/>
      <c r="T80"/>
      <c r="U80"/>
      <c r="V80"/>
      <c r="W80"/>
    </row>
    <row r="81" spans="10:23" x14ac:dyDescent="0.35">
      <c r="J81"/>
      <c r="K81"/>
      <c r="L81"/>
      <c r="M81"/>
      <c r="N81"/>
      <c r="O81"/>
      <c r="P81"/>
      <c r="Q81"/>
      <c r="R81"/>
      <c r="S81"/>
      <c r="T81"/>
      <c r="U81"/>
      <c r="V81"/>
      <c r="W81"/>
    </row>
    <row r="82" spans="10:23" x14ac:dyDescent="0.35">
      <c r="J82"/>
      <c r="K82"/>
      <c r="L82"/>
      <c r="M82"/>
      <c r="N82"/>
      <c r="O82"/>
      <c r="P82"/>
      <c r="Q82"/>
      <c r="R82"/>
      <c r="S82"/>
      <c r="T82"/>
      <c r="U82"/>
      <c r="V82"/>
      <c r="W82"/>
    </row>
    <row r="83" spans="10:23" x14ac:dyDescent="0.35">
      <c r="J83"/>
      <c r="K83"/>
      <c r="L83"/>
      <c r="M83"/>
      <c r="N83"/>
      <c r="O83"/>
      <c r="P83"/>
      <c r="Q83"/>
      <c r="R83"/>
      <c r="S83"/>
      <c r="T83"/>
      <c r="U83"/>
      <c r="V83"/>
      <c r="W83"/>
    </row>
    <row r="84" spans="10:23" x14ac:dyDescent="0.35">
      <c r="J84"/>
      <c r="K84"/>
      <c r="L84"/>
      <c r="M84"/>
      <c r="N84"/>
      <c r="O84"/>
      <c r="P84"/>
      <c r="Q84"/>
      <c r="R84"/>
      <c r="S84"/>
      <c r="T84"/>
      <c r="U84"/>
      <c r="V84"/>
      <c r="W84"/>
    </row>
    <row r="85" spans="10:23" x14ac:dyDescent="0.35">
      <c r="J85"/>
      <c r="K85"/>
      <c r="L85"/>
      <c r="M85"/>
      <c r="N85"/>
      <c r="O85"/>
      <c r="P85"/>
      <c r="Q85"/>
      <c r="R85"/>
      <c r="S85"/>
      <c r="T85"/>
      <c r="U85"/>
      <c r="V85"/>
      <c r="W85"/>
    </row>
  </sheetData>
  <mergeCells count="9">
    <mergeCell ref="X2:AC2"/>
    <mergeCell ref="A4:A13"/>
    <mergeCell ref="A14:A23"/>
    <mergeCell ref="A24:A33"/>
    <mergeCell ref="J2:O2"/>
    <mergeCell ref="Q2:V2"/>
    <mergeCell ref="B2:B3"/>
    <mergeCell ref="A2:A3"/>
    <mergeCell ref="C2:H2"/>
  </mergeCells>
  <hyperlinks>
    <hyperlink ref="A37" location="Contents!A1" display="Back to contents page" xr:uid="{AF5250C6-63D9-4318-9060-339E8B16487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3"/>
  <sheetViews>
    <sheetView workbookViewId="0"/>
  </sheetViews>
  <sheetFormatPr defaultColWidth="8.7265625" defaultRowHeight="14.5" x14ac:dyDescent="0.35"/>
  <cols>
    <col min="8" max="8" width="3" customWidth="1"/>
    <col min="9" max="9" width="10.54296875" bestFit="1" customWidth="1"/>
    <col min="10" max="11" width="11.54296875" bestFit="1" customWidth="1"/>
    <col min="15" max="15" width="2.90625" customWidth="1"/>
    <col min="16" max="16" width="10.54296875" bestFit="1" customWidth="1"/>
    <col min="17" max="18" width="11.54296875" bestFit="1" customWidth="1"/>
    <col min="22" max="22" width="2.6328125" customWidth="1"/>
  </cols>
  <sheetData>
    <row r="1" spans="1:28" ht="15.5" x14ac:dyDescent="0.35">
      <c r="A1" s="5" t="s">
        <v>133</v>
      </c>
      <c r="B1" s="5"/>
      <c r="C1" s="5"/>
      <c r="D1" s="5"/>
      <c r="E1" s="5"/>
      <c r="F1" s="5"/>
      <c r="G1" s="5"/>
      <c r="H1" s="5"/>
    </row>
    <row r="2" spans="1:28" ht="15.75" customHeight="1" x14ac:dyDescent="0.35">
      <c r="A2" s="123" t="s">
        <v>4</v>
      </c>
      <c r="B2" s="121">
        <v>2024</v>
      </c>
      <c r="C2" s="121"/>
      <c r="D2" s="121"/>
      <c r="E2" s="121"/>
      <c r="F2" s="121"/>
      <c r="G2" s="121"/>
      <c r="H2" s="115"/>
      <c r="I2" s="133">
        <v>2018</v>
      </c>
      <c r="J2" s="133"/>
      <c r="K2" s="133"/>
      <c r="L2" s="133"/>
      <c r="M2" s="133"/>
      <c r="N2" s="133"/>
      <c r="O2" s="117"/>
      <c r="P2" s="133">
        <v>2015</v>
      </c>
      <c r="Q2" s="133"/>
      <c r="R2" s="133"/>
      <c r="S2" s="133"/>
      <c r="T2" s="133"/>
      <c r="U2" s="133"/>
      <c r="V2" s="117"/>
      <c r="W2" s="133">
        <v>2011</v>
      </c>
      <c r="X2" s="133"/>
      <c r="Y2" s="133"/>
      <c r="Z2" s="133"/>
      <c r="AA2" s="133"/>
      <c r="AB2" s="133"/>
    </row>
    <row r="3" spans="1:28" ht="15" customHeight="1" x14ac:dyDescent="0.35">
      <c r="A3" s="138"/>
      <c r="B3" s="133" t="s">
        <v>103</v>
      </c>
      <c r="C3" s="133"/>
      <c r="D3" s="133"/>
      <c r="E3" s="137" t="s">
        <v>122</v>
      </c>
      <c r="F3" s="137"/>
      <c r="G3" s="133"/>
      <c r="H3" s="118"/>
      <c r="I3" s="133" t="s">
        <v>103</v>
      </c>
      <c r="J3" s="133"/>
      <c r="K3" s="133"/>
      <c r="L3" s="137" t="s">
        <v>122</v>
      </c>
      <c r="M3" s="137"/>
      <c r="N3" s="133"/>
      <c r="O3" s="118"/>
      <c r="P3" s="133" t="s">
        <v>103</v>
      </c>
      <c r="Q3" s="133"/>
      <c r="R3" s="133"/>
      <c r="S3" s="137" t="s">
        <v>122</v>
      </c>
      <c r="T3" s="137"/>
      <c r="U3" s="133"/>
      <c r="V3" s="118"/>
      <c r="W3" s="133" t="s">
        <v>103</v>
      </c>
      <c r="X3" s="133"/>
      <c r="Y3" s="133"/>
      <c r="Z3" s="137" t="s">
        <v>122</v>
      </c>
      <c r="AA3" s="137"/>
      <c r="AB3" s="133"/>
    </row>
    <row r="4" spans="1:28" x14ac:dyDescent="0.35">
      <c r="A4" s="124"/>
      <c r="B4" s="75" t="s">
        <v>64</v>
      </c>
      <c r="C4" s="75" t="s">
        <v>65</v>
      </c>
      <c r="D4" s="75" t="s">
        <v>53</v>
      </c>
      <c r="E4" s="50" t="s">
        <v>64</v>
      </c>
      <c r="F4" s="50" t="s">
        <v>65</v>
      </c>
      <c r="G4" s="50" t="s">
        <v>53</v>
      </c>
      <c r="H4" s="105"/>
      <c r="I4" s="50" t="s">
        <v>64</v>
      </c>
      <c r="J4" s="50" t="s">
        <v>65</v>
      </c>
      <c r="K4" s="50" t="s">
        <v>53</v>
      </c>
      <c r="L4" s="55" t="s">
        <v>64</v>
      </c>
      <c r="M4" s="55" t="s">
        <v>65</v>
      </c>
      <c r="N4" s="55" t="s">
        <v>53</v>
      </c>
      <c r="O4" s="105"/>
      <c r="P4" s="50" t="s">
        <v>64</v>
      </c>
      <c r="Q4" s="50" t="s">
        <v>65</v>
      </c>
      <c r="R4" s="50" t="s">
        <v>53</v>
      </c>
      <c r="S4" s="50" t="s">
        <v>64</v>
      </c>
      <c r="T4" s="50" t="s">
        <v>65</v>
      </c>
      <c r="U4" s="50" t="s">
        <v>53</v>
      </c>
      <c r="V4" s="105"/>
      <c r="W4" s="50" t="s">
        <v>64</v>
      </c>
      <c r="X4" s="50" t="s">
        <v>65</v>
      </c>
      <c r="Y4" s="50" t="s">
        <v>53</v>
      </c>
      <c r="Z4" s="50" t="s">
        <v>64</v>
      </c>
      <c r="AA4" s="50" t="s">
        <v>65</v>
      </c>
      <c r="AB4" s="50" t="s">
        <v>53</v>
      </c>
    </row>
    <row r="5" spans="1:28" x14ac:dyDescent="0.35">
      <c r="A5" s="56" t="s">
        <v>161</v>
      </c>
      <c r="B5" s="100">
        <v>36643</v>
      </c>
      <c r="C5" s="100">
        <v>66631</v>
      </c>
      <c r="D5" s="95">
        <v>103274</v>
      </c>
      <c r="E5" s="107">
        <v>35.5</v>
      </c>
      <c r="F5" s="107">
        <v>64.5</v>
      </c>
      <c r="G5" s="105">
        <v>100</v>
      </c>
      <c r="H5" s="105"/>
      <c r="I5" s="70">
        <v>28752</v>
      </c>
      <c r="J5" s="70">
        <v>47767</v>
      </c>
      <c r="K5" s="70">
        <v>76519</v>
      </c>
      <c r="L5" s="32">
        <v>37.6</v>
      </c>
      <c r="M5" s="32">
        <v>62.4</v>
      </c>
      <c r="N5" s="102">
        <v>100</v>
      </c>
      <c r="O5" s="103"/>
      <c r="P5" s="35">
        <v>25688</v>
      </c>
      <c r="Q5" s="35">
        <v>42360</v>
      </c>
      <c r="R5" s="35">
        <v>68047</v>
      </c>
      <c r="S5" s="32">
        <v>37.799999999999997</v>
      </c>
      <c r="T5" s="32">
        <v>62.3</v>
      </c>
      <c r="U5" s="102">
        <v>100</v>
      </c>
      <c r="V5" s="103"/>
      <c r="W5" s="35">
        <v>22102</v>
      </c>
      <c r="X5" s="35">
        <v>32964</v>
      </c>
      <c r="Y5" s="35">
        <v>55066</v>
      </c>
      <c r="Z5" s="32">
        <v>40.1</v>
      </c>
      <c r="AA5" s="32">
        <v>59.9</v>
      </c>
      <c r="AB5" s="102">
        <v>100</v>
      </c>
    </row>
    <row r="6" spans="1:28" x14ac:dyDescent="0.35">
      <c r="A6" s="57" t="s">
        <v>162</v>
      </c>
      <c r="B6" s="101">
        <v>69523</v>
      </c>
      <c r="C6" s="90">
        <v>89255</v>
      </c>
      <c r="D6" s="96">
        <v>158778</v>
      </c>
      <c r="E6" s="107">
        <v>43.8</v>
      </c>
      <c r="F6" s="107">
        <v>56.2</v>
      </c>
      <c r="G6" s="105">
        <v>100</v>
      </c>
      <c r="H6" s="105"/>
      <c r="I6" s="70">
        <v>57661</v>
      </c>
      <c r="J6" s="70">
        <v>66890</v>
      </c>
      <c r="K6" s="70">
        <v>124551</v>
      </c>
      <c r="L6" s="33">
        <v>46.3</v>
      </c>
      <c r="M6" s="33">
        <v>53.7</v>
      </c>
      <c r="N6" s="103">
        <v>100</v>
      </c>
      <c r="O6" s="103"/>
      <c r="P6" s="36">
        <v>53260</v>
      </c>
      <c r="Q6" s="36">
        <v>60190</v>
      </c>
      <c r="R6" s="36">
        <v>113450</v>
      </c>
      <c r="S6" s="33">
        <v>46.9</v>
      </c>
      <c r="T6" s="33">
        <v>53.1</v>
      </c>
      <c r="U6" s="103">
        <v>100</v>
      </c>
      <c r="V6" s="103"/>
      <c r="W6" s="36">
        <v>47569</v>
      </c>
      <c r="X6" s="36">
        <v>51247</v>
      </c>
      <c r="Y6" s="36">
        <v>98816</v>
      </c>
      <c r="Z6" s="33">
        <v>48.1</v>
      </c>
      <c r="AA6" s="33">
        <v>51.9</v>
      </c>
      <c r="AB6" s="103">
        <v>100</v>
      </c>
    </row>
    <row r="7" spans="1:28" x14ac:dyDescent="0.35">
      <c r="A7" s="58" t="s">
        <v>1</v>
      </c>
      <c r="B7" s="91">
        <v>106166</v>
      </c>
      <c r="C7" s="91">
        <v>155885</v>
      </c>
      <c r="D7" s="71">
        <v>262052</v>
      </c>
      <c r="E7" s="108">
        <v>40.5</v>
      </c>
      <c r="F7" s="108">
        <v>59.5</v>
      </c>
      <c r="G7" s="106">
        <v>100</v>
      </c>
      <c r="H7" s="106"/>
      <c r="I7" s="71">
        <v>86412</v>
      </c>
      <c r="J7" s="71">
        <v>114657</v>
      </c>
      <c r="K7" s="71">
        <v>201070</v>
      </c>
      <c r="L7" s="34">
        <v>43</v>
      </c>
      <c r="M7" s="34">
        <v>57</v>
      </c>
      <c r="N7" s="104">
        <v>100</v>
      </c>
      <c r="O7" s="104"/>
      <c r="P7" s="37">
        <v>78948</v>
      </c>
      <c r="Q7" s="37">
        <v>102550</v>
      </c>
      <c r="R7" s="37">
        <v>181498</v>
      </c>
      <c r="S7" s="34">
        <v>43.5</v>
      </c>
      <c r="T7" s="34">
        <v>56.5</v>
      </c>
      <c r="U7" s="104">
        <v>100</v>
      </c>
      <c r="V7" s="104"/>
      <c r="W7" s="37">
        <v>69671</v>
      </c>
      <c r="X7" s="37">
        <v>84211</v>
      </c>
      <c r="Y7" s="37">
        <v>153881</v>
      </c>
      <c r="Z7" s="34">
        <v>45.3</v>
      </c>
      <c r="AA7" s="34">
        <v>54.7</v>
      </c>
      <c r="AB7" s="104">
        <v>100</v>
      </c>
    </row>
    <row r="8" spans="1:28" x14ac:dyDescent="0.35">
      <c r="A8" s="99" t="s">
        <v>121</v>
      </c>
      <c r="B8" s="99"/>
      <c r="C8" s="99"/>
      <c r="D8" s="99"/>
      <c r="E8" s="99"/>
      <c r="F8" s="99"/>
      <c r="G8" s="99"/>
      <c r="H8" s="99"/>
      <c r="I8" s="70"/>
      <c r="J8" s="70"/>
      <c r="K8" s="70"/>
      <c r="L8" s="33"/>
      <c r="M8" s="33"/>
      <c r="N8" s="69"/>
      <c r="O8" s="69"/>
      <c r="P8" s="36"/>
      <c r="Q8" s="36"/>
      <c r="R8" s="36"/>
      <c r="S8" s="33"/>
      <c r="T8" s="33"/>
      <c r="U8" s="69"/>
      <c r="V8" s="69"/>
    </row>
    <row r="9" spans="1:28" x14ac:dyDescent="0.35">
      <c r="A9" t="s">
        <v>119</v>
      </c>
    </row>
    <row r="11" spans="1:28" x14ac:dyDescent="0.35">
      <c r="A11" s="114" t="s">
        <v>149</v>
      </c>
      <c r="I11" s="72"/>
      <c r="J11" s="72"/>
      <c r="K11" s="72"/>
      <c r="L11" s="72"/>
      <c r="M11" s="72"/>
      <c r="N11" s="72"/>
      <c r="O11" s="72"/>
      <c r="P11" s="72"/>
      <c r="Q11" s="72"/>
      <c r="R11" s="72"/>
      <c r="S11" s="72"/>
      <c r="T11" s="72"/>
      <c r="U11" s="72"/>
      <c r="V11" s="72"/>
    </row>
    <row r="12" spans="1:28" x14ac:dyDescent="0.35">
      <c r="I12" s="72"/>
      <c r="J12" s="72"/>
      <c r="K12" s="72"/>
      <c r="L12" s="72"/>
      <c r="M12" s="72"/>
      <c r="N12" s="72"/>
      <c r="O12" s="72"/>
      <c r="P12" s="72"/>
      <c r="Q12" s="72"/>
      <c r="R12" s="72"/>
      <c r="S12" s="72"/>
      <c r="T12" s="72"/>
      <c r="U12" s="72"/>
      <c r="V12" s="72"/>
    </row>
    <row r="13" spans="1:28" x14ac:dyDescent="0.35">
      <c r="I13" s="72"/>
      <c r="J13" s="72"/>
      <c r="K13" s="72"/>
      <c r="L13" s="72"/>
      <c r="M13" s="72"/>
      <c r="N13" s="72"/>
      <c r="O13" s="72"/>
      <c r="P13" s="72"/>
      <c r="Q13" s="72"/>
      <c r="R13" s="72"/>
      <c r="S13" s="72"/>
      <c r="T13" s="72"/>
      <c r="U13" s="72"/>
      <c r="V13" s="72"/>
    </row>
  </sheetData>
  <mergeCells count="13">
    <mergeCell ref="A2:A4"/>
    <mergeCell ref="I3:K3"/>
    <mergeCell ref="L3:N3"/>
    <mergeCell ref="P3:R3"/>
    <mergeCell ref="S3:U3"/>
    <mergeCell ref="B2:G2"/>
    <mergeCell ref="B3:D3"/>
    <mergeCell ref="E3:G3"/>
    <mergeCell ref="W2:AB2"/>
    <mergeCell ref="W3:Y3"/>
    <mergeCell ref="Z3:AB3"/>
    <mergeCell ref="I2:N2"/>
    <mergeCell ref="P2:U2"/>
  </mergeCells>
  <hyperlinks>
    <hyperlink ref="A11" location="Contents!A1" display="Back to contents page" xr:uid="{19B46104-64E8-48A7-A20F-90A8D7F9CD36}"/>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
  <sheetViews>
    <sheetView zoomScaleNormal="100" workbookViewId="0"/>
  </sheetViews>
  <sheetFormatPr defaultRowHeight="14.5" x14ac:dyDescent="0.35"/>
  <cols>
    <col min="1" max="4" width="10.453125" style="6" customWidth="1"/>
    <col min="5" max="5" width="2.81640625" style="6" customWidth="1"/>
    <col min="6" max="8" width="8.7265625" style="6" customWidth="1"/>
    <col min="9" max="9" width="3.26953125" style="6" customWidth="1"/>
    <col min="10" max="12" width="8.7265625" customWidth="1"/>
    <col min="13" max="13" width="3.26953125" customWidth="1"/>
    <col min="14" max="16" width="8.7265625" customWidth="1"/>
  </cols>
  <sheetData>
    <row r="1" spans="1:16" ht="15.5" x14ac:dyDescent="0.35">
      <c r="A1" s="5" t="s">
        <v>134</v>
      </c>
      <c r="B1" s="5"/>
      <c r="C1" s="5"/>
      <c r="D1" s="5"/>
      <c r="E1" s="5"/>
      <c r="F1" s="5"/>
      <c r="G1" s="5"/>
      <c r="H1" s="5"/>
      <c r="I1" s="5"/>
    </row>
    <row r="2" spans="1:16" x14ac:dyDescent="0.35">
      <c r="A2" s="123" t="s">
        <v>4</v>
      </c>
      <c r="B2" s="133">
        <v>2024</v>
      </c>
      <c r="C2" s="133"/>
      <c r="D2" s="133"/>
      <c r="E2" s="117"/>
      <c r="F2" s="133">
        <v>2018</v>
      </c>
      <c r="G2" s="133"/>
      <c r="H2" s="133"/>
      <c r="I2" s="117"/>
      <c r="J2" s="133">
        <v>2015</v>
      </c>
      <c r="K2" s="133"/>
      <c r="L2" s="133"/>
      <c r="M2" s="117"/>
      <c r="N2" s="133">
        <v>2011</v>
      </c>
      <c r="O2" s="133"/>
      <c r="P2" s="133"/>
    </row>
    <row r="3" spans="1:16" x14ac:dyDescent="0.35">
      <c r="A3" s="124"/>
      <c r="B3" s="50" t="s">
        <v>64</v>
      </c>
      <c r="C3" s="50" t="s">
        <v>65</v>
      </c>
      <c r="D3" s="50" t="s">
        <v>53</v>
      </c>
      <c r="E3" s="105"/>
      <c r="F3" s="50" t="s">
        <v>64</v>
      </c>
      <c r="G3" s="50" t="s">
        <v>65</v>
      </c>
      <c r="H3" s="50" t="s">
        <v>53</v>
      </c>
      <c r="I3" s="105"/>
      <c r="J3" s="50" t="s">
        <v>64</v>
      </c>
      <c r="K3" s="50" t="s">
        <v>65</v>
      </c>
      <c r="L3" s="50" t="s">
        <v>53</v>
      </c>
      <c r="M3" s="105"/>
      <c r="N3" s="50" t="s">
        <v>64</v>
      </c>
      <c r="O3" s="50" t="s">
        <v>65</v>
      </c>
      <c r="P3" s="50" t="s">
        <v>53</v>
      </c>
    </row>
    <row r="4" spans="1:16" x14ac:dyDescent="0.35">
      <c r="A4" s="56" t="s">
        <v>161</v>
      </c>
      <c r="B4" s="62">
        <v>2.1</v>
      </c>
      <c r="C4" s="62">
        <v>3.8</v>
      </c>
      <c r="D4" s="62">
        <v>5.9</v>
      </c>
      <c r="E4" s="62"/>
      <c r="F4" s="62">
        <v>2.1</v>
      </c>
      <c r="G4" s="62">
        <v>3.5</v>
      </c>
      <c r="H4" s="62">
        <v>5.6</v>
      </c>
      <c r="I4" s="62"/>
      <c r="J4" s="62">
        <v>2.1</v>
      </c>
      <c r="K4" s="62">
        <v>3.4</v>
      </c>
      <c r="L4" s="62">
        <v>5.5</v>
      </c>
      <c r="M4" s="62"/>
      <c r="N4" s="61">
        <v>2.1</v>
      </c>
      <c r="O4" s="61">
        <v>3.1</v>
      </c>
      <c r="P4" s="61">
        <v>5.2</v>
      </c>
    </row>
    <row r="5" spans="1:16" x14ac:dyDescent="0.35">
      <c r="A5" s="57" t="s">
        <v>162</v>
      </c>
      <c r="B5" s="62">
        <v>3</v>
      </c>
      <c r="C5" s="62">
        <v>3.9</v>
      </c>
      <c r="D5" s="62">
        <v>7</v>
      </c>
      <c r="E5" s="62"/>
      <c r="F5" s="62">
        <v>3</v>
      </c>
      <c r="G5" s="62">
        <v>3.6</v>
      </c>
      <c r="H5" s="62">
        <v>6.6</v>
      </c>
      <c r="I5" s="62"/>
      <c r="J5" s="62">
        <v>3</v>
      </c>
      <c r="K5" s="62">
        <v>3.5</v>
      </c>
      <c r="L5" s="62">
        <v>6.4</v>
      </c>
      <c r="M5" s="62"/>
      <c r="N5" s="62">
        <v>3</v>
      </c>
      <c r="O5" s="62">
        <v>3.3</v>
      </c>
      <c r="P5" s="62">
        <v>6.2</v>
      </c>
    </row>
    <row r="6" spans="1:16" x14ac:dyDescent="0.35">
      <c r="A6" s="58" t="s">
        <v>1</v>
      </c>
      <c r="B6" s="64">
        <v>2.6</v>
      </c>
      <c r="C6" s="64">
        <v>3.9</v>
      </c>
      <c r="D6" s="64">
        <v>6.5</v>
      </c>
      <c r="E6" s="64"/>
      <c r="F6" s="64">
        <v>2.6</v>
      </c>
      <c r="G6" s="64">
        <v>3.6</v>
      </c>
      <c r="H6" s="64">
        <v>6.2</v>
      </c>
      <c r="I6" s="64"/>
      <c r="J6" s="64">
        <v>2.6</v>
      </c>
      <c r="K6" s="64">
        <v>3.5</v>
      </c>
      <c r="L6" s="64">
        <v>6.1</v>
      </c>
      <c r="M6" s="64"/>
      <c r="N6" s="64">
        <v>2.6</v>
      </c>
      <c r="O6" s="64">
        <v>3.2</v>
      </c>
      <c r="P6" s="64">
        <v>5.8</v>
      </c>
    </row>
    <row r="7" spans="1:16" x14ac:dyDescent="0.35">
      <c r="A7" s="7" t="s">
        <v>89</v>
      </c>
      <c r="B7" s="7"/>
      <c r="C7" s="7"/>
      <c r="D7" s="7"/>
      <c r="E7" s="7"/>
      <c r="F7" s="110"/>
      <c r="G7" s="110"/>
      <c r="H7" s="110"/>
      <c r="I7" s="110"/>
      <c r="J7" s="51"/>
      <c r="K7" s="51"/>
      <c r="L7" s="51"/>
      <c r="M7" s="51"/>
      <c r="N7" s="51"/>
    </row>
    <row r="8" spans="1:16" x14ac:dyDescent="0.35">
      <c r="A8" s="7" t="s">
        <v>120</v>
      </c>
      <c r="B8" s="7"/>
      <c r="C8" s="7"/>
      <c r="D8" s="7"/>
      <c r="E8" s="7"/>
      <c r="F8" s="110"/>
      <c r="G8" s="110"/>
      <c r="H8" s="110"/>
      <c r="I8" s="110"/>
      <c r="J8" s="51"/>
      <c r="K8" s="51"/>
      <c r="L8" s="51"/>
      <c r="M8" s="51"/>
      <c r="N8" s="51"/>
    </row>
    <row r="9" spans="1:16" x14ac:dyDescent="0.35">
      <c r="A9" s="7" t="s">
        <v>124</v>
      </c>
      <c r="B9" s="7"/>
      <c r="C9" s="7"/>
      <c r="D9" s="7"/>
      <c r="E9" s="7"/>
      <c r="F9" s="110"/>
      <c r="G9" s="110"/>
      <c r="H9" s="110"/>
      <c r="I9" s="110"/>
      <c r="J9" s="51"/>
      <c r="K9" s="51"/>
      <c r="L9" s="51"/>
      <c r="M9" s="51"/>
      <c r="N9" s="51"/>
    </row>
    <row r="10" spans="1:16" x14ac:dyDescent="0.35">
      <c r="A10" t="s">
        <v>123</v>
      </c>
      <c r="B10"/>
      <c r="C10"/>
      <c r="D10"/>
      <c r="E10"/>
      <c r="F10" s="2"/>
      <c r="G10" s="2"/>
      <c r="H10" s="2"/>
      <c r="I10" s="2"/>
    </row>
    <row r="11" spans="1:16" x14ac:dyDescent="0.35">
      <c r="F11" s="7"/>
      <c r="G11" s="7"/>
      <c r="H11" s="7"/>
      <c r="I11" s="7"/>
    </row>
    <row r="12" spans="1:16" x14ac:dyDescent="0.35">
      <c r="A12" s="114" t="s">
        <v>149</v>
      </c>
    </row>
  </sheetData>
  <mergeCells count="5">
    <mergeCell ref="N2:P2"/>
    <mergeCell ref="A2:A3"/>
    <mergeCell ref="J2:L2"/>
    <mergeCell ref="F2:H2"/>
    <mergeCell ref="B2:D2"/>
  </mergeCells>
  <hyperlinks>
    <hyperlink ref="A12" location="Contents!A1" display="Back to contents page" xr:uid="{AE878A20-273C-4743-A75B-ED5CB44BD0EE}"/>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3"/>
  <sheetViews>
    <sheetView workbookViewId="0"/>
  </sheetViews>
  <sheetFormatPr defaultColWidth="9.1796875" defaultRowHeight="14.5" x14ac:dyDescent="0.35"/>
  <cols>
    <col min="1" max="1" width="10.1796875" customWidth="1"/>
    <col min="2" max="2" width="21.453125" customWidth="1"/>
    <col min="3" max="3" width="30.26953125" style="4" customWidth="1"/>
    <col min="4" max="6" width="8.1796875" customWidth="1"/>
    <col min="7" max="7" width="3" customWidth="1"/>
    <col min="8" max="10" width="8.1796875" customWidth="1"/>
    <col min="11" max="11" width="2.81640625" customWidth="1"/>
    <col min="12" max="14" width="8.1796875" customWidth="1"/>
  </cols>
  <sheetData>
    <row r="1" spans="1:14" ht="15.5" x14ac:dyDescent="0.35">
      <c r="A1" s="1" t="s">
        <v>159</v>
      </c>
    </row>
    <row r="2" spans="1:14" x14ac:dyDescent="0.35">
      <c r="A2" s="123" t="s">
        <v>0</v>
      </c>
      <c r="B2" s="123" t="s">
        <v>73</v>
      </c>
      <c r="C2" s="123" t="s">
        <v>74</v>
      </c>
      <c r="D2" s="133">
        <v>2018</v>
      </c>
      <c r="E2" s="133"/>
      <c r="F2" s="133"/>
      <c r="G2" s="117"/>
      <c r="H2" s="133">
        <v>2015</v>
      </c>
      <c r="I2" s="133"/>
      <c r="J2" s="133"/>
      <c r="K2" s="117"/>
      <c r="L2" s="133">
        <v>2011</v>
      </c>
      <c r="M2" s="133"/>
      <c r="N2" s="133"/>
    </row>
    <row r="3" spans="1:14" x14ac:dyDescent="0.35">
      <c r="A3" s="124"/>
      <c r="B3" s="124"/>
      <c r="C3" s="124"/>
      <c r="D3" s="50" t="s">
        <v>65</v>
      </c>
      <c r="E3" s="50" t="s">
        <v>64</v>
      </c>
      <c r="F3" s="50" t="s">
        <v>53</v>
      </c>
      <c r="G3" s="105"/>
      <c r="H3" s="50" t="s">
        <v>65</v>
      </c>
      <c r="I3" s="50" t="s">
        <v>64</v>
      </c>
      <c r="J3" s="50" t="s">
        <v>53</v>
      </c>
      <c r="K3" s="105"/>
      <c r="L3" s="50" t="s">
        <v>65</v>
      </c>
      <c r="M3" s="50" t="s">
        <v>64</v>
      </c>
      <c r="N3" s="50" t="s">
        <v>53</v>
      </c>
    </row>
    <row r="4" spans="1:14" x14ac:dyDescent="0.35">
      <c r="A4" s="143" t="s">
        <v>161</v>
      </c>
      <c r="B4" s="60" t="s">
        <v>72</v>
      </c>
      <c r="C4" s="60" t="s">
        <v>71</v>
      </c>
      <c r="D4" s="61">
        <v>3.39</v>
      </c>
      <c r="E4" s="61">
        <v>2.06</v>
      </c>
      <c r="F4" s="61">
        <v>5.45</v>
      </c>
      <c r="G4" s="62"/>
      <c r="H4" s="61">
        <v>3.38</v>
      </c>
      <c r="I4" s="61">
        <v>2.06</v>
      </c>
      <c r="J4" s="61">
        <v>5.43</v>
      </c>
      <c r="K4" s="62"/>
      <c r="L4" s="61">
        <v>3.01</v>
      </c>
      <c r="M4" s="61">
        <v>2.0499999999999998</v>
      </c>
      <c r="N4" s="61">
        <v>5.0599999999999996</v>
      </c>
    </row>
    <row r="5" spans="1:14" x14ac:dyDescent="0.35">
      <c r="A5" s="140"/>
      <c r="B5" s="139" t="s">
        <v>160</v>
      </c>
      <c r="C5" s="53" t="s">
        <v>66</v>
      </c>
      <c r="D5" s="62">
        <v>3.42</v>
      </c>
      <c r="E5" s="62">
        <v>2.2200000000000002</v>
      </c>
      <c r="F5" s="62">
        <v>5.64</v>
      </c>
      <c r="G5" s="62"/>
      <c r="H5" s="62">
        <v>3.44</v>
      </c>
      <c r="I5" s="62">
        <v>2.15</v>
      </c>
      <c r="J5" s="62">
        <v>5.6</v>
      </c>
      <c r="K5" s="62"/>
      <c r="L5" s="62">
        <v>2.79</v>
      </c>
      <c r="M5" s="62">
        <v>2.09</v>
      </c>
      <c r="N5" s="62">
        <v>4.88</v>
      </c>
    </row>
    <row r="6" spans="1:14" x14ac:dyDescent="0.35">
      <c r="A6" s="140"/>
      <c r="B6" s="139"/>
      <c r="C6" s="53" t="s">
        <v>150</v>
      </c>
      <c r="D6" s="62">
        <v>3.2</v>
      </c>
      <c r="E6" s="62">
        <v>1.93</v>
      </c>
      <c r="F6" s="62">
        <v>5.13</v>
      </c>
      <c r="G6" s="62"/>
      <c r="H6" s="62">
        <v>3.2</v>
      </c>
      <c r="I6" s="62">
        <v>1.92</v>
      </c>
      <c r="J6" s="62">
        <v>5.12</v>
      </c>
      <c r="K6" s="62"/>
      <c r="L6" s="62">
        <v>3.12</v>
      </c>
      <c r="M6" s="62">
        <v>2.08</v>
      </c>
      <c r="N6" s="62">
        <v>5.2</v>
      </c>
    </row>
    <row r="7" spans="1:14" ht="17.25" customHeight="1" x14ac:dyDescent="0.35">
      <c r="A7" s="140"/>
      <c r="B7" s="139"/>
      <c r="C7" s="53" t="s">
        <v>151</v>
      </c>
      <c r="D7" s="62">
        <v>3.51</v>
      </c>
      <c r="E7" s="62">
        <v>2.16</v>
      </c>
      <c r="F7" s="62">
        <v>5.67</v>
      </c>
      <c r="G7" s="62"/>
      <c r="H7" s="62">
        <v>3.46</v>
      </c>
      <c r="I7" s="62">
        <v>2.0499999999999998</v>
      </c>
      <c r="J7" s="62">
        <v>5.51</v>
      </c>
      <c r="K7" s="62"/>
      <c r="L7" s="62">
        <v>2.86</v>
      </c>
      <c r="M7" s="62">
        <v>1.96</v>
      </c>
      <c r="N7" s="62">
        <v>4.8099999999999996</v>
      </c>
    </row>
    <row r="8" spans="1:14" x14ac:dyDescent="0.35">
      <c r="A8" s="140"/>
      <c r="B8" s="139"/>
      <c r="C8" s="53" t="s">
        <v>67</v>
      </c>
      <c r="D8" s="62">
        <v>2.88</v>
      </c>
      <c r="E8" s="62">
        <v>1.21</v>
      </c>
      <c r="F8" s="62">
        <v>4.09</v>
      </c>
      <c r="G8" s="62"/>
      <c r="H8" s="62">
        <v>2.95</v>
      </c>
      <c r="I8" s="62">
        <v>1.84</v>
      </c>
      <c r="J8" s="62">
        <v>4.79</v>
      </c>
      <c r="K8" s="62"/>
      <c r="L8" s="62">
        <v>3.25</v>
      </c>
      <c r="M8" s="62">
        <v>1.94</v>
      </c>
      <c r="N8" s="62">
        <v>5.19</v>
      </c>
    </row>
    <row r="9" spans="1:14" x14ac:dyDescent="0.35">
      <c r="A9" s="140"/>
      <c r="B9" s="139"/>
      <c r="C9" s="53" t="s">
        <v>68</v>
      </c>
      <c r="D9" s="62">
        <v>4.13</v>
      </c>
      <c r="E9" s="62">
        <v>2.5099999999999998</v>
      </c>
      <c r="F9" s="62">
        <v>6.63</v>
      </c>
      <c r="G9" s="62"/>
      <c r="H9" s="62">
        <v>3.8</v>
      </c>
      <c r="I9" s="62">
        <v>2.36</v>
      </c>
      <c r="J9" s="62">
        <v>6.16</v>
      </c>
      <c r="K9" s="62"/>
      <c r="L9" s="62">
        <v>3.14</v>
      </c>
      <c r="M9" s="62">
        <v>2.17</v>
      </c>
      <c r="N9" s="62">
        <v>5.31</v>
      </c>
    </row>
    <row r="10" spans="1:14" x14ac:dyDescent="0.35">
      <c r="A10" s="140"/>
      <c r="B10" s="139"/>
      <c r="C10" s="53" t="s">
        <v>152</v>
      </c>
      <c r="D10" s="62">
        <v>3.47</v>
      </c>
      <c r="E10" s="62">
        <v>2.15</v>
      </c>
      <c r="F10" s="62">
        <v>5.62</v>
      </c>
      <c r="G10" s="62"/>
      <c r="H10" s="62">
        <v>4.03</v>
      </c>
      <c r="I10" s="62">
        <v>2.2000000000000002</v>
      </c>
      <c r="J10" s="62">
        <v>6.23</v>
      </c>
      <c r="K10" s="62"/>
      <c r="L10" s="62">
        <v>4.47</v>
      </c>
      <c r="M10" s="62">
        <v>2.0699999999999998</v>
      </c>
      <c r="N10" s="62">
        <v>6.54</v>
      </c>
    </row>
    <row r="11" spans="1:14" x14ac:dyDescent="0.35">
      <c r="A11" s="140"/>
      <c r="B11" s="139"/>
      <c r="C11" s="53" t="s">
        <v>69</v>
      </c>
      <c r="D11" s="62">
        <v>3.22</v>
      </c>
      <c r="E11" s="62">
        <v>2.54</v>
      </c>
      <c r="F11" s="62">
        <v>5.75</v>
      </c>
      <c r="G11" s="62"/>
      <c r="H11" s="62">
        <v>2.87</v>
      </c>
      <c r="I11" s="62">
        <v>1.94</v>
      </c>
      <c r="J11" s="62">
        <v>4.8099999999999996</v>
      </c>
      <c r="K11" s="62"/>
      <c r="L11" s="62">
        <v>2.78</v>
      </c>
      <c r="M11" s="62">
        <v>2.2599999999999998</v>
      </c>
      <c r="N11" s="62">
        <v>5.04</v>
      </c>
    </row>
    <row r="12" spans="1:14" x14ac:dyDescent="0.35">
      <c r="A12" s="140"/>
      <c r="B12" s="139"/>
      <c r="C12" s="53" t="s">
        <v>70</v>
      </c>
      <c r="D12" s="62">
        <v>6.68</v>
      </c>
      <c r="E12" s="62">
        <v>2.9</v>
      </c>
      <c r="F12" s="62">
        <v>9.58</v>
      </c>
      <c r="G12" s="62"/>
      <c r="H12" s="62">
        <v>3.72</v>
      </c>
      <c r="I12" s="62">
        <v>3.12</v>
      </c>
      <c r="J12" s="62">
        <v>6.84</v>
      </c>
      <c r="K12" s="62"/>
      <c r="L12" s="62">
        <v>4.63</v>
      </c>
      <c r="M12" s="62">
        <v>3.4</v>
      </c>
      <c r="N12" s="62">
        <v>8.02</v>
      </c>
    </row>
    <row r="13" spans="1:14" x14ac:dyDescent="0.35">
      <c r="A13" s="140"/>
      <c r="B13" s="139" t="s">
        <v>5</v>
      </c>
      <c r="C13" s="53" t="s">
        <v>153</v>
      </c>
      <c r="D13" s="62">
        <v>3.52</v>
      </c>
      <c r="E13" s="62">
        <v>2.12</v>
      </c>
      <c r="F13" s="62">
        <v>5.64</v>
      </c>
      <c r="G13" s="62"/>
      <c r="H13" s="62">
        <v>3.47</v>
      </c>
      <c r="I13" s="62">
        <v>2.11</v>
      </c>
      <c r="J13" s="62">
        <v>5.58</v>
      </c>
      <c r="K13" s="62"/>
      <c r="L13" s="62">
        <v>3.01</v>
      </c>
      <c r="M13" s="62">
        <v>2.08</v>
      </c>
      <c r="N13" s="62">
        <v>5.09</v>
      </c>
    </row>
    <row r="14" spans="1:14" x14ac:dyDescent="0.35">
      <c r="A14" s="140"/>
      <c r="B14" s="139"/>
      <c r="C14" s="53" t="s">
        <v>154</v>
      </c>
      <c r="D14" s="62">
        <v>3.26</v>
      </c>
      <c r="E14" s="62">
        <v>2.0299999999999998</v>
      </c>
      <c r="F14" s="62">
        <v>5.29</v>
      </c>
      <c r="G14" s="62"/>
      <c r="H14" s="62">
        <v>3.24</v>
      </c>
      <c r="I14" s="62">
        <v>1.96</v>
      </c>
      <c r="J14" s="62">
        <v>5.2</v>
      </c>
      <c r="K14" s="62"/>
      <c r="L14" s="62">
        <v>3.02</v>
      </c>
      <c r="M14" s="62">
        <v>1.95</v>
      </c>
      <c r="N14" s="62">
        <v>4.9800000000000004</v>
      </c>
    </row>
    <row r="15" spans="1:14" ht="17.25" customHeight="1" x14ac:dyDescent="0.35">
      <c r="A15" s="140"/>
      <c r="B15" s="139"/>
      <c r="C15" s="53" t="s">
        <v>155</v>
      </c>
      <c r="D15" s="62">
        <v>2.98</v>
      </c>
      <c r="E15" s="62">
        <v>1.9</v>
      </c>
      <c r="F15" s="62">
        <v>4.88</v>
      </c>
      <c r="G15" s="62"/>
      <c r="H15" s="62">
        <v>3.05</v>
      </c>
      <c r="I15" s="62">
        <v>1.86</v>
      </c>
      <c r="J15" s="62">
        <v>4.91</v>
      </c>
      <c r="K15" s="62"/>
      <c r="L15" s="62">
        <v>2.88</v>
      </c>
      <c r="M15" s="62">
        <v>1.89</v>
      </c>
      <c r="N15" s="62">
        <v>4.7699999999999996</v>
      </c>
    </row>
    <row r="16" spans="1:14" ht="17.25" customHeight="1" x14ac:dyDescent="0.35">
      <c r="A16" s="140"/>
      <c r="B16" s="139"/>
      <c r="C16" s="53" t="s">
        <v>156</v>
      </c>
      <c r="D16" s="62">
        <v>3.34</v>
      </c>
      <c r="E16" s="62">
        <v>1.73</v>
      </c>
      <c r="F16" s="62">
        <v>5.07</v>
      </c>
      <c r="G16" s="62"/>
      <c r="H16" s="62">
        <v>2.72</v>
      </c>
      <c r="I16" s="62">
        <v>1.72</v>
      </c>
      <c r="J16" s="62">
        <v>4.43</v>
      </c>
      <c r="K16" s="62"/>
      <c r="L16" s="62">
        <v>2.19</v>
      </c>
      <c r="M16" s="62">
        <v>1.66</v>
      </c>
      <c r="N16" s="62">
        <v>3.85</v>
      </c>
    </row>
    <row r="17" spans="1:14" x14ac:dyDescent="0.35">
      <c r="A17" s="140"/>
      <c r="B17" s="139" t="s">
        <v>6</v>
      </c>
      <c r="C17" s="53" t="s">
        <v>157</v>
      </c>
      <c r="D17" s="62">
        <v>3.82</v>
      </c>
      <c r="E17" s="62">
        <v>2.29</v>
      </c>
      <c r="F17" s="62">
        <v>6.11</v>
      </c>
      <c r="G17" s="62"/>
      <c r="H17" s="62">
        <v>3.55</v>
      </c>
      <c r="I17" s="62">
        <v>2.15</v>
      </c>
      <c r="J17" s="62">
        <v>5.7</v>
      </c>
      <c r="K17" s="62"/>
      <c r="L17" s="62">
        <v>3.12</v>
      </c>
      <c r="M17" s="62">
        <v>2</v>
      </c>
      <c r="N17" s="62">
        <v>5.12</v>
      </c>
    </row>
    <row r="18" spans="1:14" x14ac:dyDescent="0.35">
      <c r="A18" s="140"/>
      <c r="B18" s="139"/>
      <c r="C18" s="57">
        <v>2</v>
      </c>
      <c r="D18" s="62">
        <v>3.5</v>
      </c>
      <c r="E18" s="62">
        <v>2.14</v>
      </c>
      <c r="F18" s="62">
        <v>5.64</v>
      </c>
      <c r="G18" s="62"/>
      <c r="H18" s="62">
        <v>3.37</v>
      </c>
      <c r="I18" s="62">
        <v>2.12</v>
      </c>
      <c r="J18" s="62">
        <v>5.49</v>
      </c>
      <c r="K18" s="62"/>
      <c r="L18" s="62">
        <v>3.03</v>
      </c>
      <c r="M18" s="62">
        <v>2.02</v>
      </c>
      <c r="N18" s="62">
        <v>5.05</v>
      </c>
    </row>
    <row r="19" spans="1:14" x14ac:dyDescent="0.35">
      <c r="A19" s="140"/>
      <c r="B19" s="139"/>
      <c r="C19" s="57">
        <v>3</v>
      </c>
      <c r="D19" s="62">
        <v>3.22</v>
      </c>
      <c r="E19" s="62">
        <v>2.0499999999999998</v>
      </c>
      <c r="F19" s="62">
        <v>5.27</v>
      </c>
      <c r="G19" s="62"/>
      <c r="H19" s="62">
        <v>3.25</v>
      </c>
      <c r="I19" s="62">
        <v>1.97</v>
      </c>
      <c r="J19" s="62">
        <v>5.23</v>
      </c>
      <c r="K19" s="62"/>
      <c r="L19" s="62">
        <v>3.02</v>
      </c>
      <c r="M19" s="62">
        <v>2.0299999999999998</v>
      </c>
      <c r="N19" s="62">
        <v>5.05</v>
      </c>
    </row>
    <row r="20" spans="1:14" x14ac:dyDescent="0.35">
      <c r="A20" s="140"/>
      <c r="B20" s="139"/>
      <c r="C20" s="57">
        <v>4</v>
      </c>
      <c r="D20" s="62">
        <v>3.34</v>
      </c>
      <c r="E20" s="62">
        <v>1.93</v>
      </c>
      <c r="F20" s="62">
        <v>5.26</v>
      </c>
      <c r="G20" s="62"/>
      <c r="H20" s="62">
        <v>3.45</v>
      </c>
      <c r="I20" s="62">
        <v>1.93</v>
      </c>
      <c r="J20" s="62">
        <v>5.38</v>
      </c>
      <c r="K20" s="62"/>
      <c r="L20" s="62">
        <v>2.77</v>
      </c>
      <c r="M20" s="62">
        <v>2.04</v>
      </c>
      <c r="N20" s="62">
        <v>4.8099999999999996</v>
      </c>
    </row>
    <row r="21" spans="1:14" x14ac:dyDescent="0.35">
      <c r="A21" s="140"/>
      <c r="B21" s="139"/>
      <c r="C21" s="53" t="s">
        <v>158</v>
      </c>
      <c r="D21" s="62">
        <v>3.08</v>
      </c>
      <c r="E21" s="62">
        <v>1.89</v>
      </c>
      <c r="F21" s="62">
        <v>4.97</v>
      </c>
      <c r="G21" s="62"/>
      <c r="H21" s="62">
        <v>3.19</v>
      </c>
      <c r="I21" s="62">
        <v>2.02</v>
      </c>
      <c r="J21" s="62">
        <v>5.21</v>
      </c>
      <c r="K21" s="62"/>
      <c r="L21" s="62">
        <v>2.93</v>
      </c>
      <c r="M21" s="62">
        <v>2.0499999999999998</v>
      </c>
      <c r="N21" s="62">
        <v>4.9800000000000004</v>
      </c>
    </row>
    <row r="22" spans="1:14" x14ac:dyDescent="0.35">
      <c r="A22" s="140" t="s">
        <v>162</v>
      </c>
      <c r="B22" s="53" t="s">
        <v>72</v>
      </c>
      <c r="C22" s="53" t="s">
        <v>71</v>
      </c>
      <c r="D22" s="62">
        <v>3.45</v>
      </c>
      <c r="E22" s="62">
        <v>2.99</v>
      </c>
      <c r="F22" s="62">
        <v>6.44</v>
      </c>
      <c r="G22" s="62"/>
      <c r="H22" s="62">
        <v>3.4</v>
      </c>
      <c r="I22" s="62">
        <v>2.99</v>
      </c>
      <c r="J22" s="62">
        <v>6.39</v>
      </c>
      <c r="K22" s="62"/>
      <c r="L22" s="62">
        <v>3.18</v>
      </c>
      <c r="M22" s="62">
        <v>2.98</v>
      </c>
      <c r="N22" s="62">
        <v>6.16</v>
      </c>
    </row>
    <row r="23" spans="1:14" x14ac:dyDescent="0.35">
      <c r="A23" s="140"/>
      <c r="B23" s="139" t="s">
        <v>160</v>
      </c>
      <c r="C23" s="53" t="s">
        <v>66</v>
      </c>
      <c r="D23" s="62">
        <v>3.38</v>
      </c>
      <c r="E23" s="62">
        <v>3.19</v>
      </c>
      <c r="F23" s="62">
        <v>6.58</v>
      </c>
      <c r="G23" s="62"/>
      <c r="H23" s="62">
        <v>3.34</v>
      </c>
      <c r="I23" s="62">
        <v>3.1</v>
      </c>
      <c r="J23" s="62">
        <v>6.44</v>
      </c>
      <c r="K23" s="62"/>
      <c r="L23" s="62">
        <v>3.09</v>
      </c>
      <c r="M23" s="62">
        <v>2.99</v>
      </c>
      <c r="N23" s="62">
        <v>6.09</v>
      </c>
    </row>
    <row r="24" spans="1:14" x14ac:dyDescent="0.35">
      <c r="A24" s="140"/>
      <c r="B24" s="139"/>
      <c r="C24" s="53" t="s">
        <v>150</v>
      </c>
      <c r="D24" s="62">
        <v>3.22</v>
      </c>
      <c r="E24" s="62">
        <v>2.92</v>
      </c>
      <c r="F24" s="62">
        <v>6.15</v>
      </c>
      <c r="G24" s="62"/>
      <c r="H24" s="62">
        <v>3.41</v>
      </c>
      <c r="I24" s="62">
        <v>2.91</v>
      </c>
      <c r="J24" s="62">
        <v>6.32</v>
      </c>
      <c r="K24" s="62"/>
      <c r="L24" s="62">
        <v>3.13</v>
      </c>
      <c r="M24" s="62">
        <v>3</v>
      </c>
      <c r="N24" s="62">
        <v>6.13</v>
      </c>
    </row>
    <row r="25" spans="1:14" x14ac:dyDescent="0.35">
      <c r="A25" s="140"/>
      <c r="B25" s="139"/>
      <c r="C25" s="53" t="s">
        <v>151</v>
      </c>
      <c r="D25" s="62">
        <v>3.57</v>
      </c>
      <c r="E25" s="62">
        <v>3.01</v>
      </c>
      <c r="F25" s="62">
        <v>6.57</v>
      </c>
      <c r="G25" s="62"/>
      <c r="H25" s="62">
        <v>3.25</v>
      </c>
      <c r="I25" s="62">
        <v>2.85</v>
      </c>
      <c r="J25" s="62">
        <v>6.09</v>
      </c>
      <c r="K25" s="62"/>
      <c r="L25" s="62">
        <v>3.01</v>
      </c>
      <c r="M25" s="62">
        <v>2.75</v>
      </c>
      <c r="N25" s="62">
        <v>5.75</v>
      </c>
    </row>
    <row r="26" spans="1:14" x14ac:dyDescent="0.35">
      <c r="A26" s="140"/>
      <c r="B26" s="139"/>
      <c r="C26" s="53" t="s">
        <v>67</v>
      </c>
      <c r="D26" s="62">
        <v>3.32</v>
      </c>
      <c r="E26" s="62">
        <v>1.8</v>
      </c>
      <c r="F26" s="62">
        <v>5.12</v>
      </c>
      <c r="G26" s="62"/>
      <c r="H26" s="62">
        <v>3.39</v>
      </c>
      <c r="I26" s="62">
        <v>2.56</v>
      </c>
      <c r="J26" s="62">
        <v>5.95</v>
      </c>
      <c r="K26" s="62"/>
      <c r="L26" s="62">
        <v>3.04</v>
      </c>
      <c r="M26" s="62">
        <v>2.92</v>
      </c>
      <c r="N26" s="62">
        <v>5.97</v>
      </c>
    </row>
    <row r="27" spans="1:14" x14ac:dyDescent="0.35">
      <c r="A27" s="140"/>
      <c r="B27" s="139"/>
      <c r="C27" s="53" t="s">
        <v>68</v>
      </c>
      <c r="D27" s="62">
        <v>4.0999999999999996</v>
      </c>
      <c r="E27" s="62">
        <v>3.6</v>
      </c>
      <c r="F27" s="62">
        <v>7.69</v>
      </c>
      <c r="G27" s="62"/>
      <c r="H27" s="62">
        <v>3.94</v>
      </c>
      <c r="I27" s="62">
        <v>3.53</v>
      </c>
      <c r="J27" s="62">
        <v>7.47</v>
      </c>
      <c r="K27" s="62"/>
      <c r="L27" s="62">
        <v>3.89</v>
      </c>
      <c r="M27" s="62">
        <v>3.39</v>
      </c>
      <c r="N27" s="62">
        <v>7.27</v>
      </c>
    </row>
    <row r="28" spans="1:14" x14ac:dyDescent="0.35">
      <c r="A28" s="140"/>
      <c r="B28" s="139"/>
      <c r="C28" s="53" t="s">
        <v>152</v>
      </c>
      <c r="D28" s="62">
        <v>3.95</v>
      </c>
      <c r="E28" s="62">
        <v>3.07</v>
      </c>
      <c r="F28" s="62">
        <v>7.03</v>
      </c>
      <c r="G28" s="62"/>
      <c r="H28" s="62">
        <v>3.66</v>
      </c>
      <c r="I28" s="62">
        <v>3.13</v>
      </c>
      <c r="J28" s="62">
        <v>6.79</v>
      </c>
      <c r="K28" s="62"/>
      <c r="L28" s="62">
        <v>4.03</v>
      </c>
      <c r="M28" s="62">
        <v>3.08</v>
      </c>
      <c r="N28" s="62">
        <v>7.11</v>
      </c>
    </row>
    <row r="29" spans="1:14" x14ac:dyDescent="0.35">
      <c r="A29" s="140"/>
      <c r="B29" s="139"/>
      <c r="C29" s="53" t="s">
        <v>69</v>
      </c>
      <c r="D29" s="62">
        <v>3.8</v>
      </c>
      <c r="E29" s="62">
        <v>3.38</v>
      </c>
      <c r="F29" s="62">
        <v>7.18</v>
      </c>
      <c r="G29" s="62"/>
      <c r="H29" s="62">
        <v>3.03</v>
      </c>
      <c r="I29" s="62">
        <v>2.82</v>
      </c>
      <c r="J29" s="62">
        <v>5.86</v>
      </c>
      <c r="K29" s="62"/>
      <c r="L29" s="62">
        <v>3.05</v>
      </c>
      <c r="M29" s="62">
        <v>3.24</v>
      </c>
      <c r="N29" s="62">
        <v>6.29</v>
      </c>
    </row>
    <row r="30" spans="1:14" x14ac:dyDescent="0.35">
      <c r="A30" s="140"/>
      <c r="B30" s="139"/>
      <c r="C30" s="53" t="s">
        <v>70</v>
      </c>
      <c r="D30" s="62">
        <v>4.3</v>
      </c>
      <c r="E30" s="62">
        <v>3.79</v>
      </c>
      <c r="F30" s="62">
        <v>8.09</v>
      </c>
      <c r="G30" s="62"/>
      <c r="H30" s="62">
        <v>4.53</v>
      </c>
      <c r="I30" s="62">
        <v>4.59</v>
      </c>
      <c r="J30" s="62">
        <v>9.1199999999999992</v>
      </c>
      <c r="K30" s="62"/>
      <c r="L30" s="62">
        <v>5.81</v>
      </c>
      <c r="M30" s="62">
        <v>4.26</v>
      </c>
      <c r="N30" s="62">
        <v>10.07</v>
      </c>
    </row>
    <row r="31" spans="1:14" x14ac:dyDescent="0.35">
      <c r="A31" s="140"/>
      <c r="B31" s="139" t="s">
        <v>5</v>
      </c>
      <c r="C31" s="53" t="s">
        <v>153</v>
      </c>
      <c r="D31" s="62">
        <v>3.51</v>
      </c>
      <c r="E31" s="62">
        <v>3.14</v>
      </c>
      <c r="F31" s="62">
        <v>6.65</v>
      </c>
      <c r="G31" s="62"/>
      <c r="H31" s="62">
        <v>3.51</v>
      </c>
      <c r="I31" s="62">
        <v>3.14</v>
      </c>
      <c r="J31" s="62">
        <v>6.65</v>
      </c>
      <c r="K31" s="62"/>
      <c r="L31" s="62">
        <v>3.18</v>
      </c>
      <c r="M31" s="62">
        <v>3.07</v>
      </c>
      <c r="N31" s="62">
        <v>6.24</v>
      </c>
    </row>
    <row r="32" spans="1:14" x14ac:dyDescent="0.35">
      <c r="A32" s="140"/>
      <c r="B32" s="139"/>
      <c r="C32" s="53" t="s">
        <v>154</v>
      </c>
      <c r="D32" s="62">
        <v>3.55</v>
      </c>
      <c r="E32" s="62">
        <v>3.02</v>
      </c>
      <c r="F32" s="62">
        <v>6.57</v>
      </c>
      <c r="G32" s="62"/>
      <c r="H32" s="62">
        <v>3.31</v>
      </c>
      <c r="I32" s="62">
        <v>2.96</v>
      </c>
      <c r="J32" s="62">
        <v>6.27</v>
      </c>
      <c r="K32" s="62"/>
      <c r="L32" s="62">
        <v>3.4</v>
      </c>
      <c r="M32" s="62">
        <v>2.91</v>
      </c>
      <c r="N32" s="62">
        <v>6.32</v>
      </c>
    </row>
    <row r="33" spans="1:14" x14ac:dyDescent="0.35">
      <c r="A33" s="140"/>
      <c r="B33" s="139"/>
      <c r="C33" s="53" t="s">
        <v>155</v>
      </c>
      <c r="D33" s="62">
        <v>3.54</v>
      </c>
      <c r="E33" s="62">
        <v>2.91</v>
      </c>
      <c r="F33" s="62">
        <v>6.44</v>
      </c>
      <c r="G33" s="62"/>
      <c r="H33" s="62">
        <v>3.26</v>
      </c>
      <c r="I33" s="62">
        <v>2.79</v>
      </c>
      <c r="J33" s="62">
        <v>6.05</v>
      </c>
      <c r="K33" s="62"/>
      <c r="L33" s="62">
        <v>2.94</v>
      </c>
      <c r="M33" s="62">
        <v>2.93</v>
      </c>
      <c r="N33" s="62">
        <v>5.88</v>
      </c>
    </row>
    <row r="34" spans="1:14" ht="17.25" customHeight="1" x14ac:dyDescent="0.35">
      <c r="A34" s="140"/>
      <c r="B34" s="139"/>
      <c r="C34" s="53" t="s">
        <v>156</v>
      </c>
      <c r="D34" s="62">
        <v>3.53</v>
      </c>
      <c r="E34" s="62">
        <v>2.72</v>
      </c>
      <c r="F34" s="62">
        <v>6.25</v>
      </c>
      <c r="G34" s="62"/>
      <c r="H34" s="62">
        <v>3.86</v>
      </c>
      <c r="I34" s="62">
        <v>2.76</v>
      </c>
      <c r="J34" s="62">
        <v>6.63</v>
      </c>
      <c r="K34" s="62"/>
      <c r="L34" s="62">
        <v>3.13</v>
      </c>
      <c r="M34" s="62">
        <v>2.86</v>
      </c>
      <c r="N34" s="62">
        <v>5.99</v>
      </c>
    </row>
    <row r="35" spans="1:14" x14ac:dyDescent="0.35">
      <c r="A35" s="140"/>
      <c r="B35" s="139" t="s">
        <v>6</v>
      </c>
      <c r="C35" s="53" t="s">
        <v>157</v>
      </c>
      <c r="D35" s="62">
        <v>3.75</v>
      </c>
      <c r="E35" s="62">
        <v>3.19</v>
      </c>
      <c r="F35" s="62">
        <v>6.95</v>
      </c>
      <c r="G35" s="62"/>
      <c r="H35" s="62">
        <v>3.48</v>
      </c>
      <c r="I35" s="62">
        <v>3.02</v>
      </c>
      <c r="J35" s="62">
        <v>6.49</v>
      </c>
      <c r="K35" s="62"/>
      <c r="L35" s="62">
        <v>3.05</v>
      </c>
      <c r="M35" s="62">
        <v>2.8</v>
      </c>
      <c r="N35" s="62">
        <v>5.84</v>
      </c>
    </row>
    <row r="36" spans="1:14" x14ac:dyDescent="0.35">
      <c r="A36" s="140"/>
      <c r="B36" s="139"/>
      <c r="C36" s="57">
        <v>2</v>
      </c>
      <c r="D36" s="62">
        <v>3.61</v>
      </c>
      <c r="E36" s="62">
        <v>3.28</v>
      </c>
      <c r="F36" s="62">
        <v>6.89</v>
      </c>
      <c r="G36" s="62"/>
      <c r="H36" s="62">
        <v>3.56</v>
      </c>
      <c r="I36" s="62">
        <v>3.21</v>
      </c>
      <c r="J36" s="62">
        <v>6.77</v>
      </c>
      <c r="K36" s="62"/>
      <c r="L36" s="62">
        <v>3.57</v>
      </c>
      <c r="M36" s="62">
        <v>3.1</v>
      </c>
      <c r="N36" s="62">
        <v>6.67</v>
      </c>
    </row>
    <row r="37" spans="1:14" x14ac:dyDescent="0.35">
      <c r="A37" s="140"/>
      <c r="B37" s="139"/>
      <c r="C37" s="57">
        <v>3</v>
      </c>
      <c r="D37" s="62">
        <v>3.51</v>
      </c>
      <c r="E37" s="62">
        <v>3.01</v>
      </c>
      <c r="F37" s="62">
        <v>6.52</v>
      </c>
      <c r="G37" s="62"/>
      <c r="H37" s="62">
        <v>3.53</v>
      </c>
      <c r="I37" s="62">
        <v>2.94</v>
      </c>
      <c r="J37" s="62">
        <v>6.47</v>
      </c>
      <c r="K37" s="62"/>
      <c r="L37" s="62">
        <v>3.21</v>
      </c>
      <c r="M37" s="62">
        <v>3.01</v>
      </c>
      <c r="N37" s="62">
        <v>6.21</v>
      </c>
    </row>
    <row r="38" spans="1:14" x14ac:dyDescent="0.35">
      <c r="A38" s="140"/>
      <c r="B38" s="139"/>
      <c r="C38" s="57">
        <v>4</v>
      </c>
      <c r="D38" s="62">
        <v>3.42</v>
      </c>
      <c r="E38" s="62">
        <v>2.92</v>
      </c>
      <c r="F38" s="62">
        <v>6.35</v>
      </c>
      <c r="G38" s="62"/>
      <c r="H38" s="62">
        <v>3.42</v>
      </c>
      <c r="I38" s="62">
        <v>2.99</v>
      </c>
      <c r="J38" s="62">
        <v>6.41</v>
      </c>
      <c r="K38" s="62"/>
      <c r="L38" s="62">
        <v>3.09</v>
      </c>
      <c r="M38" s="62">
        <v>3.09</v>
      </c>
      <c r="N38" s="62">
        <v>6.17</v>
      </c>
    </row>
    <row r="39" spans="1:14" x14ac:dyDescent="0.35">
      <c r="A39" s="140"/>
      <c r="B39" s="139"/>
      <c r="C39" s="53" t="s">
        <v>158</v>
      </c>
      <c r="D39" s="62">
        <v>3.23</v>
      </c>
      <c r="E39" s="62">
        <v>2.99</v>
      </c>
      <c r="F39" s="62">
        <v>6.22</v>
      </c>
      <c r="G39" s="62"/>
      <c r="H39" s="62">
        <v>3.23</v>
      </c>
      <c r="I39" s="62">
        <v>3.14</v>
      </c>
      <c r="J39" s="62">
        <v>6.37</v>
      </c>
      <c r="K39" s="62"/>
      <c r="L39" s="62">
        <v>3.09</v>
      </c>
      <c r="M39" s="62">
        <v>3.15</v>
      </c>
      <c r="N39" s="62">
        <v>6.24</v>
      </c>
    </row>
    <row r="40" spans="1:14" x14ac:dyDescent="0.35">
      <c r="A40" s="140" t="s">
        <v>1</v>
      </c>
      <c r="B40" s="53" t="s">
        <v>72</v>
      </c>
      <c r="C40" s="53" t="s">
        <v>71</v>
      </c>
      <c r="D40" s="62">
        <v>3.45</v>
      </c>
      <c r="E40" s="62">
        <v>2.6</v>
      </c>
      <c r="F40" s="62">
        <v>6.05</v>
      </c>
      <c r="G40" s="62"/>
      <c r="H40" s="62">
        <v>3.42</v>
      </c>
      <c r="I40" s="62">
        <v>2.61</v>
      </c>
      <c r="J40" s="62">
        <v>6.03</v>
      </c>
      <c r="K40" s="62"/>
      <c r="L40" s="62">
        <v>3.13</v>
      </c>
      <c r="M40" s="62">
        <v>2.62</v>
      </c>
      <c r="N40" s="62">
        <v>5.75</v>
      </c>
    </row>
    <row r="41" spans="1:14" x14ac:dyDescent="0.35">
      <c r="A41" s="140"/>
      <c r="B41" s="139" t="s">
        <v>160</v>
      </c>
      <c r="C41" s="53" t="s">
        <v>66</v>
      </c>
      <c r="D41" s="62">
        <v>3.42</v>
      </c>
      <c r="E41" s="62">
        <v>2.79</v>
      </c>
      <c r="F41" s="62">
        <v>6.21</v>
      </c>
      <c r="G41" s="62"/>
      <c r="H41" s="62">
        <v>3.41</v>
      </c>
      <c r="I41" s="62">
        <v>2.72</v>
      </c>
      <c r="J41" s="62">
        <v>6.13</v>
      </c>
      <c r="K41" s="62"/>
      <c r="L41" s="62">
        <v>2.97</v>
      </c>
      <c r="M41" s="62">
        <v>2.64</v>
      </c>
      <c r="N41" s="62">
        <v>5.62</v>
      </c>
    </row>
    <row r="42" spans="1:14" x14ac:dyDescent="0.35">
      <c r="A42" s="140"/>
      <c r="B42" s="139"/>
      <c r="C42" s="53" t="s">
        <v>150</v>
      </c>
      <c r="D42" s="62">
        <v>3.24</v>
      </c>
      <c r="E42" s="62">
        <v>2.5099999999999998</v>
      </c>
      <c r="F42" s="62">
        <v>5.75</v>
      </c>
      <c r="G42" s="62"/>
      <c r="H42" s="62">
        <v>3.35</v>
      </c>
      <c r="I42" s="62">
        <v>2.5099999999999998</v>
      </c>
      <c r="J42" s="62">
        <v>5.85</v>
      </c>
      <c r="K42" s="62"/>
      <c r="L42" s="62">
        <v>3.14</v>
      </c>
      <c r="M42" s="62">
        <v>2.65</v>
      </c>
      <c r="N42" s="62">
        <v>5.79</v>
      </c>
    </row>
    <row r="43" spans="1:14" x14ac:dyDescent="0.35">
      <c r="A43" s="140"/>
      <c r="B43" s="139"/>
      <c r="C43" s="53" t="s">
        <v>151</v>
      </c>
      <c r="D43" s="62">
        <v>3.56</v>
      </c>
      <c r="E43" s="62">
        <v>2.65</v>
      </c>
      <c r="F43" s="62">
        <v>6.22</v>
      </c>
      <c r="G43" s="62"/>
      <c r="H43" s="62">
        <v>3.37</v>
      </c>
      <c r="I43" s="62">
        <v>2.5299999999999998</v>
      </c>
      <c r="J43" s="62">
        <v>5.9</v>
      </c>
      <c r="K43" s="62"/>
      <c r="L43" s="62">
        <v>2.96</v>
      </c>
      <c r="M43" s="62">
        <v>2.44</v>
      </c>
      <c r="N43" s="62">
        <v>5.4</v>
      </c>
    </row>
    <row r="44" spans="1:14" x14ac:dyDescent="0.35">
      <c r="A44" s="140"/>
      <c r="B44" s="139"/>
      <c r="C44" s="53" t="s">
        <v>67</v>
      </c>
      <c r="D44" s="62">
        <v>3.15</v>
      </c>
      <c r="E44" s="62">
        <v>1.55</v>
      </c>
      <c r="F44" s="62">
        <v>4.71</v>
      </c>
      <c r="G44" s="62"/>
      <c r="H44" s="62">
        <v>3.2</v>
      </c>
      <c r="I44" s="62">
        <v>2.27</v>
      </c>
      <c r="J44" s="62">
        <v>5.47</v>
      </c>
      <c r="K44" s="62"/>
      <c r="L44" s="62">
        <v>3.18</v>
      </c>
      <c r="M44" s="62">
        <v>2.54</v>
      </c>
      <c r="N44" s="62">
        <v>5.71</v>
      </c>
    </row>
    <row r="45" spans="1:14" x14ac:dyDescent="0.35">
      <c r="A45" s="140"/>
      <c r="B45" s="139"/>
      <c r="C45" s="53" t="s">
        <v>68</v>
      </c>
      <c r="D45" s="62">
        <v>4.1399999999999997</v>
      </c>
      <c r="E45" s="62">
        <v>3.15</v>
      </c>
      <c r="F45" s="62">
        <v>7.28</v>
      </c>
      <c r="G45" s="62"/>
      <c r="H45" s="62">
        <v>3.92</v>
      </c>
      <c r="I45" s="62">
        <v>3.06</v>
      </c>
      <c r="J45" s="62">
        <v>6.98</v>
      </c>
      <c r="K45" s="62"/>
      <c r="L45" s="62">
        <v>3.59</v>
      </c>
      <c r="M45" s="62">
        <v>2.91</v>
      </c>
      <c r="N45" s="62">
        <v>6.5</v>
      </c>
    </row>
    <row r="46" spans="1:14" x14ac:dyDescent="0.35">
      <c r="A46" s="140"/>
      <c r="B46" s="139"/>
      <c r="C46" s="53" t="s">
        <v>152</v>
      </c>
      <c r="D46" s="62">
        <v>3.72</v>
      </c>
      <c r="E46" s="62">
        <v>2.69</v>
      </c>
      <c r="F46" s="62">
        <v>6.41</v>
      </c>
      <c r="G46" s="62"/>
      <c r="H46" s="62">
        <v>3.87</v>
      </c>
      <c r="I46" s="62">
        <v>2.76</v>
      </c>
      <c r="J46" s="62">
        <v>6.63</v>
      </c>
      <c r="K46" s="62"/>
      <c r="L46" s="62">
        <v>4.25</v>
      </c>
      <c r="M46" s="62">
        <v>2.68</v>
      </c>
      <c r="N46" s="62">
        <v>6.93</v>
      </c>
    </row>
    <row r="47" spans="1:14" x14ac:dyDescent="0.35">
      <c r="A47" s="140"/>
      <c r="B47" s="139"/>
      <c r="C47" s="53" t="s">
        <v>69</v>
      </c>
      <c r="D47" s="62">
        <v>3.54</v>
      </c>
      <c r="E47" s="62">
        <v>3.05</v>
      </c>
      <c r="F47" s="62">
        <v>6.59</v>
      </c>
      <c r="G47" s="62"/>
      <c r="H47" s="62">
        <v>2.99</v>
      </c>
      <c r="I47" s="62">
        <v>2.4700000000000002</v>
      </c>
      <c r="J47" s="62">
        <v>5.46</v>
      </c>
      <c r="K47" s="62"/>
      <c r="L47" s="62">
        <v>3</v>
      </c>
      <c r="M47" s="62">
        <v>2.87</v>
      </c>
      <c r="N47" s="62">
        <v>5.87</v>
      </c>
    </row>
    <row r="48" spans="1:14" x14ac:dyDescent="0.35">
      <c r="A48" s="140"/>
      <c r="B48" s="139"/>
      <c r="C48" s="53" t="s">
        <v>70</v>
      </c>
      <c r="D48" s="62">
        <v>5.47</v>
      </c>
      <c r="E48" s="62">
        <v>3.4</v>
      </c>
      <c r="F48" s="62">
        <v>8.8699999999999992</v>
      </c>
      <c r="G48" s="62"/>
      <c r="H48" s="62">
        <v>4.0599999999999996</v>
      </c>
      <c r="I48" s="62">
        <v>3.95</v>
      </c>
      <c r="J48" s="62">
        <v>8</v>
      </c>
      <c r="K48" s="62"/>
      <c r="L48" s="62">
        <v>5.47</v>
      </c>
      <c r="M48" s="62">
        <v>4.0599999999999996</v>
      </c>
      <c r="N48" s="62">
        <v>9.52</v>
      </c>
    </row>
    <row r="49" spans="1:14" x14ac:dyDescent="0.35">
      <c r="A49" s="140"/>
      <c r="B49" s="139" t="s">
        <v>5</v>
      </c>
      <c r="C49" s="53" t="s">
        <v>153</v>
      </c>
      <c r="D49" s="62">
        <v>3.54</v>
      </c>
      <c r="E49" s="62">
        <v>2.72</v>
      </c>
      <c r="F49" s="62">
        <v>6.26</v>
      </c>
      <c r="G49" s="62"/>
      <c r="H49" s="62">
        <v>3.52</v>
      </c>
      <c r="I49" s="62">
        <v>2.73</v>
      </c>
      <c r="J49" s="62">
        <v>6.24</v>
      </c>
      <c r="K49" s="62"/>
      <c r="L49" s="62">
        <v>3.12</v>
      </c>
      <c r="M49" s="62">
        <v>2.69</v>
      </c>
      <c r="N49" s="62">
        <v>5.81</v>
      </c>
    </row>
    <row r="50" spans="1:14" x14ac:dyDescent="0.35">
      <c r="A50" s="140"/>
      <c r="B50" s="139"/>
      <c r="C50" s="53" t="s">
        <v>154</v>
      </c>
      <c r="D50" s="62">
        <v>3.43</v>
      </c>
      <c r="E50" s="62">
        <v>2.6</v>
      </c>
      <c r="F50" s="62">
        <v>6.03</v>
      </c>
      <c r="G50" s="62"/>
      <c r="H50" s="62">
        <v>3.3</v>
      </c>
      <c r="I50" s="62">
        <v>2.5499999999999998</v>
      </c>
      <c r="J50" s="62">
        <v>5.85</v>
      </c>
      <c r="K50" s="62"/>
      <c r="L50" s="62">
        <v>3.26</v>
      </c>
      <c r="M50" s="62">
        <v>2.5299999999999998</v>
      </c>
      <c r="N50" s="62">
        <v>5.79</v>
      </c>
    </row>
    <row r="51" spans="1:14" x14ac:dyDescent="0.35">
      <c r="A51" s="140"/>
      <c r="B51" s="139"/>
      <c r="C51" s="53" t="s">
        <v>155</v>
      </c>
      <c r="D51" s="62">
        <v>3.29</v>
      </c>
      <c r="E51" s="62">
        <v>2.4700000000000002</v>
      </c>
      <c r="F51" s="62">
        <v>5.76</v>
      </c>
      <c r="G51" s="62"/>
      <c r="H51" s="62">
        <v>3.18</v>
      </c>
      <c r="I51" s="62">
        <v>2.39</v>
      </c>
      <c r="J51" s="62">
        <v>5.57</v>
      </c>
      <c r="K51" s="62"/>
      <c r="L51" s="62">
        <v>2.95</v>
      </c>
      <c r="M51" s="62">
        <v>2.5</v>
      </c>
      <c r="N51" s="62">
        <v>5.46</v>
      </c>
    </row>
    <row r="52" spans="1:14" ht="17.25" customHeight="1" x14ac:dyDescent="0.35">
      <c r="A52" s="140"/>
      <c r="B52" s="139"/>
      <c r="C52" s="53" t="s">
        <v>156</v>
      </c>
      <c r="D52" s="62">
        <v>3.44</v>
      </c>
      <c r="E52" s="62">
        <v>2.27</v>
      </c>
      <c r="F52" s="62">
        <v>5.71</v>
      </c>
      <c r="G52" s="62"/>
      <c r="H52" s="62">
        <v>3.32</v>
      </c>
      <c r="I52" s="62">
        <v>2.2799999999999998</v>
      </c>
      <c r="J52" s="62">
        <v>5.61</v>
      </c>
      <c r="K52" s="62"/>
      <c r="L52" s="62">
        <v>2.71</v>
      </c>
      <c r="M52" s="62">
        <v>2.33</v>
      </c>
      <c r="N52" s="62">
        <v>5.04</v>
      </c>
    </row>
    <row r="53" spans="1:14" x14ac:dyDescent="0.35">
      <c r="A53" s="140"/>
      <c r="B53" s="139" t="s">
        <v>6</v>
      </c>
      <c r="C53" s="53" t="s">
        <v>157</v>
      </c>
      <c r="D53" s="62">
        <v>3.81</v>
      </c>
      <c r="E53" s="62">
        <v>2.82</v>
      </c>
      <c r="F53" s="62">
        <v>6.63</v>
      </c>
      <c r="G53" s="62"/>
      <c r="H53" s="63">
        <v>3.53</v>
      </c>
      <c r="I53" s="62">
        <v>2.66</v>
      </c>
      <c r="J53" s="62">
        <v>6.19</v>
      </c>
      <c r="K53" s="62"/>
      <c r="L53" s="62">
        <v>3.1</v>
      </c>
      <c r="M53" s="62">
        <v>2.4900000000000002</v>
      </c>
      <c r="N53" s="62">
        <v>5.58</v>
      </c>
    </row>
    <row r="54" spans="1:14" x14ac:dyDescent="0.35">
      <c r="A54" s="140"/>
      <c r="B54" s="139"/>
      <c r="C54" s="57">
        <v>2</v>
      </c>
      <c r="D54" s="62">
        <v>3.59</v>
      </c>
      <c r="E54" s="62">
        <v>2.8</v>
      </c>
      <c r="F54" s="62">
        <v>6.38</v>
      </c>
      <c r="G54" s="62"/>
      <c r="H54" s="62">
        <v>3.5</v>
      </c>
      <c r="I54" s="62">
        <v>2.76</v>
      </c>
      <c r="J54" s="62">
        <v>6.27</v>
      </c>
      <c r="K54" s="62"/>
      <c r="L54" s="62">
        <v>3.36</v>
      </c>
      <c r="M54" s="62">
        <v>2.67</v>
      </c>
      <c r="N54" s="62">
        <v>6.03</v>
      </c>
    </row>
    <row r="55" spans="1:14" x14ac:dyDescent="0.35">
      <c r="A55" s="140"/>
      <c r="B55" s="139"/>
      <c r="C55" s="57">
        <v>3</v>
      </c>
      <c r="D55" s="62">
        <v>3.39</v>
      </c>
      <c r="E55" s="62">
        <v>2.62</v>
      </c>
      <c r="F55" s="62">
        <v>6</v>
      </c>
      <c r="G55" s="62"/>
      <c r="H55" s="62">
        <v>3.43</v>
      </c>
      <c r="I55" s="62">
        <v>2.54</v>
      </c>
      <c r="J55" s="62">
        <v>5.98</v>
      </c>
      <c r="K55" s="62"/>
      <c r="L55" s="62">
        <v>3.16</v>
      </c>
      <c r="M55" s="62">
        <v>2.62</v>
      </c>
      <c r="N55" s="62">
        <v>5.78</v>
      </c>
    </row>
    <row r="56" spans="1:14" x14ac:dyDescent="0.35">
      <c r="A56" s="140"/>
      <c r="B56" s="139"/>
      <c r="C56" s="57">
        <v>4</v>
      </c>
      <c r="D56" s="62">
        <v>3.41</v>
      </c>
      <c r="E56" s="62">
        <v>2.5099999999999998</v>
      </c>
      <c r="F56" s="62">
        <v>5.92</v>
      </c>
      <c r="G56" s="62"/>
      <c r="H56" s="62">
        <v>3.47</v>
      </c>
      <c r="I56" s="62">
        <v>2.56</v>
      </c>
      <c r="J56" s="62">
        <v>6.02</v>
      </c>
      <c r="K56" s="62"/>
      <c r="L56" s="62">
        <v>2.98</v>
      </c>
      <c r="M56" s="62">
        <v>2.68</v>
      </c>
      <c r="N56" s="62">
        <v>5.65</v>
      </c>
    </row>
    <row r="57" spans="1:14" x14ac:dyDescent="0.35">
      <c r="A57" s="141"/>
      <c r="B57" s="142"/>
      <c r="C57" s="54" t="s">
        <v>158</v>
      </c>
      <c r="D57" s="64">
        <v>3.19</v>
      </c>
      <c r="E57" s="64">
        <v>2.5299999999999998</v>
      </c>
      <c r="F57" s="64">
        <v>5.72</v>
      </c>
      <c r="G57" s="64"/>
      <c r="H57" s="64">
        <v>3.23</v>
      </c>
      <c r="I57" s="64">
        <v>2.68</v>
      </c>
      <c r="J57" s="64">
        <v>5.91</v>
      </c>
      <c r="K57" s="64"/>
      <c r="L57" s="64">
        <v>3.03</v>
      </c>
      <c r="M57" s="64">
        <v>2.71</v>
      </c>
      <c r="N57" s="64">
        <v>5.74</v>
      </c>
    </row>
    <row r="58" spans="1:14" x14ac:dyDescent="0.35">
      <c r="A58" t="s">
        <v>147</v>
      </c>
    </row>
    <row r="59" spans="1:14" x14ac:dyDescent="0.35">
      <c r="A59" t="s">
        <v>135</v>
      </c>
    </row>
    <row r="60" spans="1:14" x14ac:dyDescent="0.35">
      <c r="A60" t="s">
        <v>148</v>
      </c>
    </row>
    <row r="61" spans="1:14" x14ac:dyDescent="0.35">
      <c r="A61" t="s">
        <v>123</v>
      </c>
    </row>
    <row r="63" spans="1:14" x14ac:dyDescent="0.35">
      <c r="A63" s="114" t="s">
        <v>149</v>
      </c>
    </row>
  </sheetData>
  <mergeCells count="18">
    <mergeCell ref="A40:A57"/>
    <mergeCell ref="B41:B48"/>
    <mergeCell ref="B49:B52"/>
    <mergeCell ref="B53:B57"/>
    <mergeCell ref="D2:F2"/>
    <mergeCell ref="B5:B12"/>
    <mergeCell ref="B13:B16"/>
    <mergeCell ref="B17:B21"/>
    <mergeCell ref="A4:A21"/>
    <mergeCell ref="A22:A39"/>
    <mergeCell ref="B23:B30"/>
    <mergeCell ref="B31:B34"/>
    <mergeCell ref="B35:B39"/>
    <mergeCell ref="C2:C3"/>
    <mergeCell ref="B2:B3"/>
    <mergeCell ref="A2:A3"/>
    <mergeCell ref="L2:N2"/>
    <mergeCell ref="H2:J2"/>
  </mergeCells>
  <hyperlinks>
    <hyperlink ref="A63" location="Contents!A1" display="Back to contents page" xr:uid="{396BBA1D-0CB9-4DBD-8EC1-02403733E9B5}"/>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4"/>
  <sheetViews>
    <sheetView workbookViewId="0"/>
  </sheetViews>
  <sheetFormatPr defaultColWidth="9.1796875" defaultRowHeight="14.5" x14ac:dyDescent="0.35"/>
  <cols>
    <col min="1" max="1" width="11.7265625" customWidth="1"/>
    <col min="2" max="2" width="35.81640625" style="4" customWidth="1"/>
    <col min="3" max="5" width="9.26953125" customWidth="1"/>
    <col min="6" max="6" width="3.1796875" customWidth="1"/>
    <col min="7" max="9" width="9.26953125" customWidth="1"/>
    <col min="10" max="10" width="3.1796875" customWidth="1"/>
    <col min="11" max="13" width="9.26953125" customWidth="1"/>
    <col min="14" max="14" width="3.08984375" customWidth="1"/>
  </cols>
  <sheetData>
    <row r="1" spans="1:17" ht="15.5" x14ac:dyDescent="0.35">
      <c r="A1" s="1" t="s">
        <v>136</v>
      </c>
    </row>
    <row r="2" spans="1:17" x14ac:dyDescent="0.35">
      <c r="A2" s="125" t="s">
        <v>0</v>
      </c>
      <c r="B2" s="123" t="s">
        <v>75</v>
      </c>
      <c r="C2" s="133">
        <v>2024</v>
      </c>
      <c r="D2" s="133"/>
      <c r="E2" s="133"/>
      <c r="F2" s="117"/>
      <c r="G2" s="133">
        <v>2018</v>
      </c>
      <c r="H2" s="133"/>
      <c r="I2" s="133"/>
      <c r="J2" s="117"/>
      <c r="K2" s="133">
        <v>2015</v>
      </c>
      <c r="L2" s="133"/>
      <c r="M2" s="133"/>
      <c r="N2" s="117"/>
      <c r="O2" s="133">
        <v>2011</v>
      </c>
      <c r="P2" s="133"/>
      <c r="Q2" s="133"/>
    </row>
    <row r="3" spans="1:17" x14ac:dyDescent="0.35">
      <c r="A3" s="126"/>
      <c r="B3" s="124"/>
      <c r="C3" s="50" t="s">
        <v>106</v>
      </c>
      <c r="D3" s="50" t="s">
        <v>107</v>
      </c>
      <c r="E3" s="50" t="s">
        <v>108</v>
      </c>
      <c r="F3" s="105"/>
      <c r="G3" s="50" t="s">
        <v>106</v>
      </c>
      <c r="H3" s="50" t="s">
        <v>107</v>
      </c>
      <c r="I3" s="50" t="s">
        <v>108</v>
      </c>
      <c r="J3" s="105"/>
      <c r="K3" s="50" t="s">
        <v>106</v>
      </c>
      <c r="L3" s="50" t="s">
        <v>107</v>
      </c>
      <c r="M3" s="50" t="s">
        <v>108</v>
      </c>
      <c r="N3" s="105"/>
      <c r="O3" s="50" t="s">
        <v>106</v>
      </c>
      <c r="P3" s="50" t="s">
        <v>107</v>
      </c>
      <c r="Q3" s="50" t="s">
        <v>108</v>
      </c>
    </row>
    <row r="4" spans="1:17" x14ac:dyDescent="0.35">
      <c r="A4" s="134" t="s">
        <v>161</v>
      </c>
      <c r="B4" s="53" t="s">
        <v>76</v>
      </c>
      <c r="C4" s="61">
        <v>7.8</v>
      </c>
      <c r="D4" s="61">
        <v>8</v>
      </c>
      <c r="E4" s="61">
        <v>7.9</v>
      </c>
      <c r="F4" s="62"/>
      <c r="G4" s="61">
        <v>7.7</v>
      </c>
      <c r="H4" s="61">
        <v>7.9</v>
      </c>
      <c r="I4" s="61">
        <v>7.8</v>
      </c>
      <c r="J4" s="62"/>
      <c r="K4" s="61">
        <v>9.9</v>
      </c>
      <c r="L4" s="61">
        <v>10</v>
      </c>
      <c r="M4" s="61">
        <v>9.9</v>
      </c>
      <c r="N4" s="62"/>
      <c r="O4" s="61">
        <v>8.3000000000000007</v>
      </c>
      <c r="P4" s="61">
        <v>8.5</v>
      </c>
      <c r="Q4" s="61">
        <v>8.4</v>
      </c>
    </row>
    <row r="5" spans="1:17" x14ac:dyDescent="0.35">
      <c r="A5" s="135"/>
      <c r="B5" s="53" t="s">
        <v>101</v>
      </c>
      <c r="C5" s="62">
        <v>4.0999999999999996</v>
      </c>
      <c r="D5" s="62">
        <v>4.2</v>
      </c>
      <c r="E5" s="62">
        <v>4.2</v>
      </c>
      <c r="F5" s="62"/>
      <c r="G5" s="62">
        <v>4.4000000000000004</v>
      </c>
      <c r="H5" s="62">
        <v>4.5</v>
      </c>
      <c r="I5" s="62">
        <v>4.4000000000000004</v>
      </c>
      <c r="J5" s="62"/>
      <c r="K5" s="62">
        <v>3.9</v>
      </c>
      <c r="L5" s="62">
        <v>4.0999999999999996</v>
      </c>
      <c r="M5" s="62">
        <v>4</v>
      </c>
      <c r="N5" s="62"/>
      <c r="O5" s="62">
        <v>5.2</v>
      </c>
      <c r="P5" s="62">
        <v>5.4</v>
      </c>
      <c r="Q5" s="62">
        <v>5.3</v>
      </c>
    </row>
    <row r="6" spans="1:17" ht="17.25" customHeight="1" x14ac:dyDescent="0.35">
      <c r="A6" s="135"/>
      <c r="B6" s="53" t="s">
        <v>77</v>
      </c>
      <c r="C6" s="62">
        <v>7</v>
      </c>
      <c r="D6" s="62">
        <v>7.4</v>
      </c>
      <c r="E6" s="62">
        <v>7.3</v>
      </c>
      <c r="F6" s="62"/>
      <c r="G6" s="62">
        <v>6.9</v>
      </c>
      <c r="H6" s="62">
        <v>7.2</v>
      </c>
      <c r="I6" s="62">
        <v>7.1</v>
      </c>
      <c r="J6" s="62"/>
      <c r="K6" s="62">
        <v>6.9</v>
      </c>
      <c r="L6" s="62">
        <v>7.3</v>
      </c>
      <c r="M6" s="62">
        <v>7.1</v>
      </c>
      <c r="N6" s="62"/>
      <c r="O6" s="62">
        <v>7.1</v>
      </c>
      <c r="P6" s="62">
        <v>7.6</v>
      </c>
      <c r="Q6" s="62">
        <v>7.4</v>
      </c>
    </row>
    <row r="7" spans="1:17" x14ac:dyDescent="0.35">
      <c r="A7" s="135"/>
      <c r="B7" s="53" t="s">
        <v>78</v>
      </c>
      <c r="C7" s="62">
        <v>21.2</v>
      </c>
      <c r="D7" s="62">
        <v>20.9</v>
      </c>
      <c r="E7" s="62">
        <v>21</v>
      </c>
      <c r="F7" s="62"/>
      <c r="G7" s="62">
        <v>20.5</v>
      </c>
      <c r="H7" s="62">
        <v>20.2</v>
      </c>
      <c r="I7" s="62">
        <v>20.3</v>
      </c>
      <c r="J7" s="62"/>
      <c r="K7" s="62">
        <v>19.399999999999999</v>
      </c>
      <c r="L7" s="62">
        <v>18.899999999999999</v>
      </c>
      <c r="M7" s="62">
        <v>19.100000000000001</v>
      </c>
      <c r="N7" s="62"/>
      <c r="O7" s="62">
        <v>17.600000000000001</v>
      </c>
      <c r="P7" s="62">
        <v>17</v>
      </c>
      <c r="Q7" s="62">
        <v>17.2</v>
      </c>
    </row>
    <row r="8" spans="1:17" x14ac:dyDescent="0.35">
      <c r="A8" s="135"/>
      <c r="B8" s="53" t="s">
        <v>79</v>
      </c>
      <c r="C8" s="62">
        <v>11</v>
      </c>
      <c r="D8" s="62">
        <v>11</v>
      </c>
      <c r="E8" s="62">
        <v>11</v>
      </c>
      <c r="F8" s="62"/>
      <c r="G8" s="62">
        <v>11.3</v>
      </c>
      <c r="H8" s="62">
        <v>11.4</v>
      </c>
      <c r="I8" s="62">
        <v>11.4</v>
      </c>
      <c r="J8" s="62"/>
      <c r="K8" s="62">
        <v>11.3</v>
      </c>
      <c r="L8" s="62">
        <v>11.3</v>
      </c>
      <c r="M8" s="62">
        <v>11.3</v>
      </c>
      <c r="N8" s="62"/>
      <c r="O8" s="62">
        <v>11.4</v>
      </c>
      <c r="P8" s="62">
        <v>11.4</v>
      </c>
      <c r="Q8" s="62">
        <v>11.4</v>
      </c>
    </row>
    <row r="9" spans="1:17" x14ac:dyDescent="0.35">
      <c r="A9" s="135"/>
      <c r="B9" s="53" t="s">
        <v>80</v>
      </c>
      <c r="C9" s="62">
        <v>2.6</v>
      </c>
      <c r="D9" s="62">
        <v>2.4</v>
      </c>
      <c r="E9" s="62">
        <v>2.5</v>
      </c>
      <c r="F9" s="62"/>
      <c r="G9" s="62">
        <v>3</v>
      </c>
      <c r="H9" s="62">
        <v>2.7</v>
      </c>
      <c r="I9" s="62">
        <v>2.8</v>
      </c>
      <c r="J9" s="62"/>
      <c r="K9" s="62">
        <v>3.3</v>
      </c>
      <c r="L9" s="62">
        <v>3</v>
      </c>
      <c r="M9" s="62">
        <v>3.2</v>
      </c>
      <c r="N9" s="62"/>
      <c r="O9" s="62">
        <v>3.2</v>
      </c>
      <c r="P9" s="62">
        <v>2.9</v>
      </c>
      <c r="Q9" s="62">
        <v>3</v>
      </c>
    </row>
    <row r="10" spans="1:17" ht="15" customHeight="1" x14ac:dyDescent="0.35">
      <c r="A10" s="135" t="s">
        <v>162</v>
      </c>
      <c r="B10" s="53" t="s">
        <v>76</v>
      </c>
      <c r="C10" s="62">
        <v>6.6</v>
      </c>
      <c r="D10" s="62">
        <v>6.7</v>
      </c>
      <c r="E10" s="62">
        <v>6.6</v>
      </c>
      <c r="F10" s="62"/>
      <c r="G10" s="62">
        <v>6.6</v>
      </c>
      <c r="H10" s="62">
        <v>6.6</v>
      </c>
      <c r="I10" s="62">
        <v>6.6</v>
      </c>
      <c r="J10" s="62"/>
      <c r="K10" s="62">
        <v>5.8</v>
      </c>
      <c r="L10" s="62">
        <v>5.9</v>
      </c>
      <c r="M10" s="62">
        <v>5.9</v>
      </c>
      <c r="N10" s="62"/>
      <c r="O10" s="62">
        <v>5.9</v>
      </c>
      <c r="P10" s="62">
        <v>5.9</v>
      </c>
      <c r="Q10" s="62">
        <v>5.9</v>
      </c>
    </row>
    <row r="11" spans="1:17" ht="15" customHeight="1" x14ac:dyDescent="0.35">
      <c r="A11" s="135"/>
      <c r="B11" s="53" t="s">
        <v>101</v>
      </c>
      <c r="C11" s="62">
        <v>2.4</v>
      </c>
      <c r="D11" s="62">
        <v>2.5</v>
      </c>
      <c r="E11" s="62">
        <v>2.4</v>
      </c>
      <c r="F11" s="62"/>
      <c r="G11" s="62">
        <v>2.4</v>
      </c>
      <c r="H11" s="62">
        <v>2.4</v>
      </c>
      <c r="I11" s="62">
        <v>2.4</v>
      </c>
      <c r="J11" s="62"/>
      <c r="K11" s="62">
        <v>3.2</v>
      </c>
      <c r="L11" s="62">
        <v>3.2</v>
      </c>
      <c r="M11" s="62">
        <v>3.2</v>
      </c>
      <c r="N11" s="62"/>
      <c r="O11" s="62">
        <v>3.4</v>
      </c>
      <c r="P11" s="62">
        <v>3.4</v>
      </c>
      <c r="Q11" s="62">
        <v>3.4</v>
      </c>
    </row>
    <row r="12" spans="1:17" ht="15" customHeight="1" x14ac:dyDescent="0.35">
      <c r="A12" s="135"/>
      <c r="B12" s="53" t="s">
        <v>77</v>
      </c>
      <c r="C12" s="62">
        <v>9.3000000000000007</v>
      </c>
      <c r="D12" s="62">
        <v>9.5</v>
      </c>
      <c r="E12" s="62">
        <v>9.4</v>
      </c>
      <c r="F12" s="62"/>
      <c r="G12" s="62">
        <v>9.3000000000000007</v>
      </c>
      <c r="H12" s="62">
        <v>9.5</v>
      </c>
      <c r="I12" s="62">
        <v>9.4</v>
      </c>
      <c r="J12" s="62"/>
      <c r="K12" s="62">
        <v>9.1</v>
      </c>
      <c r="L12" s="62">
        <v>9.4</v>
      </c>
      <c r="M12" s="62">
        <v>9.1999999999999993</v>
      </c>
      <c r="N12" s="62"/>
      <c r="O12" s="62">
        <v>9</v>
      </c>
      <c r="P12" s="62">
        <v>9.1</v>
      </c>
      <c r="Q12" s="62">
        <v>9</v>
      </c>
    </row>
    <row r="13" spans="1:17" ht="15" customHeight="1" x14ac:dyDescent="0.35">
      <c r="A13" s="135"/>
      <c r="B13" s="53" t="s">
        <v>78</v>
      </c>
      <c r="C13" s="62">
        <v>19.600000000000001</v>
      </c>
      <c r="D13" s="62">
        <v>19.399999999999999</v>
      </c>
      <c r="E13" s="62">
        <v>19.5</v>
      </c>
      <c r="F13" s="62"/>
      <c r="G13" s="62">
        <v>19.3</v>
      </c>
      <c r="H13" s="62">
        <v>19.2</v>
      </c>
      <c r="I13" s="62">
        <v>19.2</v>
      </c>
      <c r="J13" s="62"/>
      <c r="K13" s="62">
        <v>16.5</v>
      </c>
      <c r="L13" s="62">
        <v>16.2</v>
      </c>
      <c r="M13" s="62">
        <v>16.399999999999999</v>
      </c>
      <c r="N13" s="62"/>
      <c r="O13" s="62">
        <v>18.5</v>
      </c>
      <c r="P13" s="62">
        <v>18.399999999999999</v>
      </c>
      <c r="Q13" s="62">
        <v>18.5</v>
      </c>
    </row>
    <row r="14" spans="1:17" ht="15" customHeight="1" x14ac:dyDescent="0.35">
      <c r="A14" s="135"/>
      <c r="B14" s="53" t="s">
        <v>79</v>
      </c>
      <c r="C14" s="62">
        <v>11.5</v>
      </c>
      <c r="D14" s="62">
        <v>11.5</v>
      </c>
      <c r="E14" s="62">
        <v>11.5</v>
      </c>
      <c r="F14" s="62"/>
      <c r="G14" s="62">
        <v>11.9</v>
      </c>
      <c r="H14" s="62">
        <v>11.9</v>
      </c>
      <c r="I14" s="62">
        <v>11.9</v>
      </c>
      <c r="J14" s="62"/>
      <c r="K14" s="62">
        <v>11.9</v>
      </c>
      <c r="L14" s="62">
        <v>11.9</v>
      </c>
      <c r="M14" s="62">
        <v>11.9</v>
      </c>
      <c r="N14" s="62"/>
      <c r="O14" s="62">
        <v>12</v>
      </c>
      <c r="P14" s="62">
        <v>11.9</v>
      </c>
      <c r="Q14" s="62">
        <v>11.9</v>
      </c>
    </row>
    <row r="15" spans="1:17" ht="15" customHeight="1" x14ac:dyDescent="0.35">
      <c r="A15" s="135"/>
      <c r="B15" s="53" t="s">
        <v>80</v>
      </c>
      <c r="C15" s="62">
        <v>1.7</v>
      </c>
      <c r="D15" s="62">
        <v>1.6</v>
      </c>
      <c r="E15" s="62">
        <v>1.7</v>
      </c>
      <c r="F15" s="62"/>
      <c r="G15" s="62">
        <v>1.8</v>
      </c>
      <c r="H15" s="62">
        <v>1.7</v>
      </c>
      <c r="I15" s="62">
        <v>1.8</v>
      </c>
      <c r="J15" s="62"/>
      <c r="K15" s="62">
        <v>1.9</v>
      </c>
      <c r="L15" s="62">
        <v>1.7</v>
      </c>
      <c r="M15" s="62">
        <v>1.8</v>
      </c>
      <c r="N15" s="62"/>
      <c r="O15" s="62">
        <v>2.1</v>
      </c>
      <c r="P15" s="62">
        <v>2</v>
      </c>
      <c r="Q15" s="62">
        <v>2.1</v>
      </c>
    </row>
    <row r="16" spans="1:17" ht="15" customHeight="1" x14ac:dyDescent="0.35">
      <c r="A16" s="135" t="s">
        <v>1</v>
      </c>
      <c r="B16" s="53" t="s">
        <v>76</v>
      </c>
      <c r="C16" s="62">
        <v>7</v>
      </c>
      <c r="D16" s="62">
        <v>7.2</v>
      </c>
      <c r="E16" s="62">
        <v>7.1</v>
      </c>
      <c r="F16" s="62"/>
      <c r="G16" s="62">
        <v>6.9</v>
      </c>
      <c r="H16" s="62">
        <v>7.1</v>
      </c>
      <c r="I16" s="62">
        <v>7.1</v>
      </c>
      <c r="J16" s="62"/>
      <c r="K16" s="62">
        <v>7.1</v>
      </c>
      <c r="L16" s="62">
        <v>7.6</v>
      </c>
      <c r="M16" s="62">
        <v>7.4</v>
      </c>
      <c r="N16" s="62"/>
      <c r="O16" s="62">
        <v>6.7</v>
      </c>
      <c r="P16" s="62">
        <v>6.9</v>
      </c>
      <c r="Q16" s="62">
        <v>6.8</v>
      </c>
    </row>
    <row r="17" spans="1:17" ht="15" customHeight="1" x14ac:dyDescent="0.35">
      <c r="A17" s="135"/>
      <c r="B17" s="53" t="s">
        <v>101</v>
      </c>
      <c r="C17" s="62">
        <v>3</v>
      </c>
      <c r="D17" s="62">
        <v>3.2</v>
      </c>
      <c r="E17" s="62">
        <v>3.1</v>
      </c>
      <c r="F17" s="62"/>
      <c r="G17" s="62">
        <v>3.1</v>
      </c>
      <c r="H17" s="62">
        <v>3.3</v>
      </c>
      <c r="I17" s="62">
        <v>3.2</v>
      </c>
      <c r="J17" s="62"/>
      <c r="K17" s="62">
        <v>3.4</v>
      </c>
      <c r="L17" s="62">
        <v>3.6</v>
      </c>
      <c r="M17" s="62">
        <v>3.5</v>
      </c>
      <c r="N17" s="62"/>
      <c r="O17" s="62">
        <v>4</v>
      </c>
      <c r="P17" s="62">
        <v>4.2</v>
      </c>
      <c r="Q17" s="62">
        <v>4.0999999999999996</v>
      </c>
    </row>
    <row r="18" spans="1:17" ht="15" customHeight="1" x14ac:dyDescent="0.35">
      <c r="A18" s="135"/>
      <c r="B18" s="53" t="s">
        <v>77</v>
      </c>
      <c r="C18" s="62">
        <v>8.5</v>
      </c>
      <c r="D18" s="62">
        <v>8.6</v>
      </c>
      <c r="E18" s="62">
        <v>8.5</v>
      </c>
      <c r="F18" s="62"/>
      <c r="G18" s="62">
        <v>8.5</v>
      </c>
      <c r="H18" s="62">
        <v>8.5</v>
      </c>
      <c r="I18" s="62">
        <v>8.5</v>
      </c>
      <c r="J18" s="62"/>
      <c r="K18" s="62">
        <v>8.4</v>
      </c>
      <c r="L18" s="62">
        <v>8.5</v>
      </c>
      <c r="M18" s="62">
        <v>8.4</v>
      </c>
      <c r="N18" s="62"/>
      <c r="O18" s="62">
        <v>8.4</v>
      </c>
      <c r="P18" s="62">
        <v>8.5</v>
      </c>
      <c r="Q18" s="62">
        <v>8.5</v>
      </c>
    </row>
    <row r="19" spans="1:17" ht="15" customHeight="1" x14ac:dyDescent="0.35">
      <c r="A19" s="135"/>
      <c r="B19" s="53" t="s">
        <v>78</v>
      </c>
      <c r="C19" s="62">
        <v>20.2</v>
      </c>
      <c r="D19" s="62">
        <v>20.100000000000001</v>
      </c>
      <c r="E19" s="62">
        <v>20.100000000000001</v>
      </c>
      <c r="F19" s="62"/>
      <c r="G19" s="62">
        <v>19.7</v>
      </c>
      <c r="H19" s="62">
        <v>19.600000000000001</v>
      </c>
      <c r="I19" s="62">
        <v>19.600000000000001</v>
      </c>
      <c r="J19" s="62"/>
      <c r="K19" s="62">
        <v>17.5</v>
      </c>
      <c r="L19" s="62">
        <v>17.3</v>
      </c>
      <c r="M19" s="62">
        <v>17.399999999999999</v>
      </c>
      <c r="N19" s="62"/>
      <c r="O19" s="62">
        <v>18.2</v>
      </c>
      <c r="P19" s="62">
        <v>17.899999999999999</v>
      </c>
      <c r="Q19" s="62">
        <v>18</v>
      </c>
    </row>
    <row r="20" spans="1:17" ht="15" customHeight="1" x14ac:dyDescent="0.35">
      <c r="A20" s="135"/>
      <c r="B20" s="53" t="s">
        <v>79</v>
      </c>
      <c r="C20" s="62">
        <v>11.3</v>
      </c>
      <c r="D20" s="62">
        <v>11.3</v>
      </c>
      <c r="E20" s="62">
        <v>11.3</v>
      </c>
      <c r="F20" s="62"/>
      <c r="G20" s="62">
        <v>11.7</v>
      </c>
      <c r="H20" s="62">
        <v>11.7</v>
      </c>
      <c r="I20" s="62">
        <v>11.7</v>
      </c>
      <c r="J20" s="62"/>
      <c r="K20" s="62">
        <v>11.7</v>
      </c>
      <c r="L20" s="62">
        <v>11.6</v>
      </c>
      <c r="M20" s="62">
        <v>11.7</v>
      </c>
      <c r="N20" s="62"/>
      <c r="O20" s="62">
        <v>11.8</v>
      </c>
      <c r="P20" s="62">
        <v>11.7</v>
      </c>
      <c r="Q20" s="62">
        <v>11.8</v>
      </c>
    </row>
    <row r="21" spans="1:17" ht="15" customHeight="1" x14ac:dyDescent="0.35">
      <c r="A21" s="136"/>
      <c r="B21" s="54" t="s">
        <v>80</v>
      </c>
      <c r="C21" s="64">
        <v>2</v>
      </c>
      <c r="D21" s="64">
        <v>1.9</v>
      </c>
      <c r="E21" s="64">
        <v>2</v>
      </c>
      <c r="F21" s="64"/>
      <c r="G21" s="64">
        <v>2.2000000000000002</v>
      </c>
      <c r="H21" s="64">
        <v>2.1</v>
      </c>
      <c r="I21" s="64">
        <v>2.2000000000000002</v>
      </c>
      <c r="J21" s="64"/>
      <c r="K21" s="64">
        <v>2.4</v>
      </c>
      <c r="L21" s="64">
        <v>2.2999999999999998</v>
      </c>
      <c r="M21" s="64">
        <v>2.2999999999999998</v>
      </c>
      <c r="N21" s="64"/>
      <c r="O21" s="64">
        <v>2.5</v>
      </c>
      <c r="P21" s="64">
        <v>2.4</v>
      </c>
      <c r="Q21" s="64">
        <v>2.4</v>
      </c>
    </row>
    <row r="22" spans="1:17" x14ac:dyDescent="0.35">
      <c r="A22" t="s">
        <v>123</v>
      </c>
      <c r="E22" s="62"/>
      <c r="F22" s="62"/>
    </row>
    <row r="23" spans="1:17" x14ac:dyDescent="0.35">
      <c r="E23" s="62"/>
      <c r="F23" s="62"/>
      <c r="G23" s="62"/>
      <c r="H23" s="62"/>
      <c r="I23" s="62"/>
      <c r="J23" s="62"/>
    </row>
    <row r="24" spans="1:17" x14ac:dyDescent="0.35">
      <c r="A24" s="114" t="s">
        <v>149</v>
      </c>
    </row>
  </sheetData>
  <mergeCells count="9">
    <mergeCell ref="O2:Q2"/>
    <mergeCell ref="K2:M2"/>
    <mergeCell ref="A4:A9"/>
    <mergeCell ref="A10:A15"/>
    <mergeCell ref="A16:A21"/>
    <mergeCell ref="C2:E2"/>
    <mergeCell ref="G2:I2"/>
    <mergeCell ref="B2:B3"/>
    <mergeCell ref="A2:A3"/>
  </mergeCells>
  <hyperlinks>
    <hyperlink ref="A24" location="Contents!A1" display="Back to contents page" xr:uid="{D7A4A774-712B-401C-A51D-9B9CE84923C5}"/>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72"/>
  <sheetViews>
    <sheetView workbookViewId="0"/>
  </sheetViews>
  <sheetFormatPr defaultColWidth="9.1796875" defaultRowHeight="14.5" x14ac:dyDescent="0.35"/>
  <cols>
    <col min="1" max="1" width="10" style="7" customWidth="1"/>
    <col min="2" max="2" width="11.1796875" style="7" customWidth="1"/>
    <col min="3" max="3" width="32.81640625" style="4" customWidth="1"/>
    <col min="4" max="6" width="10.26953125" customWidth="1"/>
    <col min="7" max="7" width="3.453125" customWidth="1"/>
    <col min="8" max="10" width="10.26953125" customWidth="1"/>
    <col min="11" max="11" width="2.7265625" customWidth="1"/>
    <col min="12" max="14" width="10.26953125" customWidth="1"/>
    <col min="15" max="15" width="2.81640625" customWidth="1"/>
    <col min="16" max="18" width="10.26953125" customWidth="1"/>
  </cols>
  <sheetData>
    <row r="1" spans="1:18" ht="15.5" x14ac:dyDescent="0.35">
      <c r="A1" s="5" t="s">
        <v>137</v>
      </c>
      <c r="B1" s="5"/>
    </row>
    <row r="2" spans="1:18" x14ac:dyDescent="0.35">
      <c r="A2" s="125" t="s">
        <v>0</v>
      </c>
      <c r="B2" s="125" t="s">
        <v>102</v>
      </c>
      <c r="C2" s="123" t="s">
        <v>75</v>
      </c>
      <c r="D2" s="133">
        <v>2024</v>
      </c>
      <c r="E2" s="133"/>
      <c r="F2" s="133"/>
      <c r="G2" s="117"/>
      <c r="H2" s="133">
        <v>2018</v>
      </c>
      <c r="I2" s="133"/>
      <c r="J2" s="133"/>
      <c r="K2" s="117"/>
      <c r="L2" s="133">
        <v>2015</v>
      </c>
      <c r="M2" s="133"/>
      <c r="N2" s="133"/>
      <c r="O2" s="117"/>
      <c r="P2" s="133">
        <v>2011</v>
      </c>
      <c r="Q2" s="133"/>
      <c r="R2" s="133"/>
    </row>
    <row r="3" spans="1:18" x14ac:dyDescent="0.35">
      <c r="A3" s="126"/>
      <c r="B3" s="126"/>
      <c r="C3" s="124"/>
      <c r="D3" s="65" t="s">
        <v>64</v>
      </c>
      <c r="E3" s="65" t="s">
        <v>65</v>
      </c>
      <c r="F3" s="65" t="s">
        <v>53</v>
      </c>
      <c r="G3" s="119"/>
      <c r="H3" s="65" t="s">
        <v>64</v>
      </c>
      <c r="I3" s="65" t="s">
        <v>65</v>
      </c>
      <c r="J3" s="65" t="s">
        <v>53</v>
      </c>
      <c r="K3" s="119"/>
      <c r="L3" s="65" t="s">
        <v>64</v>
      </c>
      <c r="M3" s="65" t="s">
        <v>65</v>
      </c>
      <c r="N3" s="65" t="s">
        <v>53</v>
      </c>
      <c r="O3" s="119"/>
      <c r="P3" s="65" t="s">
        <v>64</v>
      </c>
      <c r="Q3" s="65" t="s">
        <v>65</v>
      </c>
      <c r="R3" s="65" t="s">
        <v>53</v>
      </c>
    </row>
    <row r="4" spans="1:18" x14ac:dyDescent="0.35">
      <c r="A4" s="134" t="s">
        <v>161</v>
      </c>
      <c r="B4" s="134" t="s">
        <v>138</v>
      </c>
      <c r="C4" s="53" t="s">
        <v>76</v>
      </c>
      <c r="D4" s="35">
        <v>9</v>
      </c>
      <c r="E4" s="35">
        <v>13</v>
      </c>
      <c r="F4" s="35">
        <v>22</v>
      </c>
      <c r="G4" s="36"/>
      <c r="H4" s="35">
        <v>8</v>
      </c>
      <c r="I4" s="35">
        <v>10</v>
      </c>
      <c r="J4" s="35">
        <v>19</v>
      </c>
      <c r="K4" s="36"/>
      <c r="L4" s="35">
        <v>8</v>
      </c>
      <c r="M4" s="35">
        <v>8</v>
      </c>
      <c r="N4" s="35">
        <v>15</v>
      </c>
      <c r="O4" s="36"/>
      <c r="P4" s="35">
        <v>8</v>
      </c>
      <c r="Q4" s="35">
        <v>5</v>
      </c>
      <c r="R4" s="35">
        <v>13</v>
      </c>
    </row>
    <row r="5" spans="1:18" x14ac:dyDescent="0.35">
      <c r="A5" s="135"/>
      <c r="B5" s="135"/>
      <c r="C5" s="53" t="s">
        <v>77</v>
      </c>
      <c r="D5" s="36">
        <v>1</v>
      </c>
      <c r="E5" s="36">
        <v>2</v>
      </c>
      <c r="F5" s="36">
        <v>3</v>
      </c>
      <c r="G5" s="36"/>
      <c r="H5" s="36">
        <v>1</v>
      </c>
      <c r="I5" s="36">
        <v>1</v>
      </c>
      <c r="J5" s="36">
        <v>2</v>
      </c>
      <c r="K5" s="36"/>
      <c r="L5" s="36">
        <v>1</v>
      </c>
      <c r="M5" s="36">
        <v>1</v>
      </c>
      <c r="N5" s="36">
        <v>2</v>
      </c>
      <c r="O5" s="36"/>
      <c r="P5" s="36">
        <v>1</v>
      </c>
      <c r="Q5" s="36">
        <v>1</v>
      </c>
      <c r="R5" s="36">
        <v>1</v>
      </c>
    </row>
    <row r="6" spans="1:18" ht="17.25" customHeight="1" x14ac:dyDescent="0.35">
      <c r="A6" s="135"/>
      <c r="B6" s="135"/>
      <c r="C6" s="53" t="s">
        <v>78</v>
      </c>
      <c r="D6" s="36">
        <v>72</v>
      </c>
      <c r="E6" s="36">
        <v>97</v>
      </c>
      <c r="F6" s="36">
        <v>169</v>
      </c>
      <c r="G6" s="36"/>
      <c r="H6" s="36">
        <v>69</v>
      </c>
      <c r="I6" s="36">
        <v>79</v>
      </c>
      <c r="J6" s="36">
        <v>148</v>
      </c>
      <c r="K6" s="36"/>
      <c r="L6" s="36">
        <v>60</v>
      </c>
      <c r="M6" s="36">
        <v>55</v>
      </c>
      <c r="N6" s="36">
        <v>115</v>
      </c>
      <c r="O6" s="36"/>
      <c r="P6" s="36">
        <v>61</v>
      </c>
      <c r="Q6" s="36">
        <v>40</v>
      </c>
      <c r="R6" s="36">
        <v>101</v>
      </c>
    </row>
    <row r="7" spans="1:18" x14ac:dyDescent="0.35">
      <c r="A7" s="135"/>
      <c r="B7" s="135"/>
      <c r="C7" s="53" t="s">
        <v>79</v>
      </c>
      <c r="D7" s="36">
        <v>28</v>
      </c>
      <c r="E7" s="36">
        <v>37</v>
      </c>
      <c r="F7" s="36">
        <v>65</v>
      </c>
      <c r="G7" s="36"/>
      <c r="H7" s="36">
        <v>27</v>
      </c>
      <c r="I7" s="36">
        <v>30</v>
      </c>
      <c r="J7" s="36">
        <v>57</v>
      </c>
      <c r="K7" s="36"/>
      <c r="L7" s="36">
        <v>27</v>
      </c>
      <c r="M7" s="36">
        <v>25</v>
      </c>
      <c r="N7" s="36">
        <v>51</v>
      </c>
      <c r="O7" s="36"/>
      <c r="P7" s="36">
        <v>26</v>
      </c>
      <c r="Q7" s="36">
        <v>18</v>
      </c>
      <c r="R7" s="36">
        <v>44</v>
      </c>
    </row>
    <row r="8" spans="1:18" x14ac:dyDescent="0.35">
      <c r="A8" s="135"/>
      <c r="B8" s="135"/>
      <c r="C8" s="53" t="s">
        <v>80</v>
      </c>
      <c r="D8" s="36">
        <v>26</v>
      </c>
      <c r="E8" s="36">
        <v>34</v>
      </c>
      <c r="F8" s="36">
        <v>60</v>
      </c>
      <c r="G8" s="36"/>
      <c r="H8" s="36">
        <v>23</v>
      </c>
      <c r="I8" s="36">
        <v>25</v>
      </c>
      <c r="J8" s="36">
        <v>48</v>
      </c>
      <c r="K8" s="36"/>
      <c r="L8" s="36">
        <v>26</v>
      </c>
      <c r="M8" s="36">
        <v>23</v>
      </c>
      <c r="N8" s="36">
        <v>49</v>
      </c>
      <c r="O8" s="36"/>
      <c r="P8" s="36">
        <v>25</v>
      </c>
      <c r="Q8" s="36">
        <v>17</v>
      </c>
      <c r="R8" s="36">
        <v>42</v>
      </c>
    </row>
    <row r="9" spans="1:18" ht="15" customHeight="1" x14ac:dyDescent="0.35">
      <c r="A9" s="135"/>
      <c r="B9" s="135" t="s">
        <v>139</v>
      </c>
      <c r="C9" s="53" t="s">
        <v>76</v>
      </c>
      <c r="D9" s="36">
        <v>157</v>
      </c>
      <c r="E9" s="36">
        <v>134</v>
      </c>
      <c r="F9" s="36">
        <v>291</v>
      </c>
      <c r="G9" s="36"/>
      <c r="H9" s="36">
        <v>140</v>
      </c>
      <c r="I9" s="36">
        <v>151</v>
      </c>
      <c r="J9" s="36">
        <v>291</v>
      </c>
      <c r="K9" s="36"/>
      <c r="L9" s="36">
        <v>146</v>
      </c>
      <c r="M9" s="36">
        <v>105</v>
      </c>
      <c r="N9" s="36">
        <v>251</v>
      </c>
      <c r="O9" s="36"/>
      <c r="P9" s="36">
        <v>124</v>
      </c>
      <c r="Q9" s="36">
        <v>94</v>
      </c>
      <c r="R9" s="36">
        <v>217</v>
      </c>
    </row>
    <row r="10" spans="1:18" ht="15" customHeight="1" x14ac:dyDescent="0.35">
      <c r="A10" s="135"/>
      <c r="B10" s="135"/>
      <c r="C10" s="53" t="s">
        <v>77</v>
      </c>
      <c r="D10" s="36">
        <v>22</v>
      </c>
      <c r="E10" s="36">
        <v>18</v>
      </c>
      <c r="F10" s="36">
        <v>40</v>
      </c>
      <c r="G10" s="36"/>
      <c r="H10" s="36">
        <v>19</v>
      </c>
      <c r="I10" s="36">
        <v>20</v>
      </c>
      <c r="J10" s="36">
        <v>39</v>
      </c>
      <c r="K10" s="36"/>
      <c r="L10" s="36">
        <v>18</v>
      </c>
      <c r="M10" s="36">
        <v>13</v>
      </c>
      <c r="N10" s="36">
        <v>31</v>
      </c>
      <c r="O10" s="36"/>
      <c r="P10" s="36">
        <v>14</v>
      </c>
      <c r="Q10" s="36">
        <v>11</v>
      </c>
      <c r="R10" s="36">
        <v>25</v>
      </c>
    </row>
    <row r="11" spans="1:18" ht="15" customHeight="1" x14ac:dyDescent="0.35">
      <c r="A11" s="135"/>
      <c r="B11" s="135"/>
      <c r="C11" s="53" t="s">
        <v>78</v>
      </c>
      <c r="D11" s="36">
        <v>566</v>
      </c>
      <c r="E11" s="36">
        <v>504</v>
      </c>
      <c r="F11" s="36">
        <v>1070</v>
      </c>
      <c r="G11" s="36"/>
      <c r="H11" s="36">
        <v>506</v>
      </c>
      <c r="I11" s="36">
        <v>570</v>
      </c>
      <c r="J11" s="36">
        <v>1076</v>
      </c>
      <c r="K11" s="36"/>
      <c r="L11" s="36">
        <v>464</v>
      </c>
      <c r="M11" s="36">
        <v>337</v>
      </c>
      <c r="N11" s="36">
        <v>801</v>
      </c>
      <c r="O11" s="36"/>
      <c r="P11" s="36">
        <v>439</v>
      </c>
      <c r="Q11" s="36">
        <v>354</v>
      </c>
      <c r="R11" s="36">
        <v>793</v>
      </c>
    </row>
    <row r="12" spans="1:18" ht="15" customHeight="1" x14ac:dyDescent="0.35">
      <c r="A12" s="135"/>
      <c r="B12" s="135"/>
      <c r="C12" s="53" t="s">
        <v>79</v>
      </c>
      <c r="D12" s="36">
        <v>223</v>
      </c>
      <c r="E12" s="36">
        <v>196</v>
      </c>
      <c r="F12" s="36">
        <v>419</v>
      </c>
      <c r="G12" s="36"/>
      <c r="H12" s="36">
        <v>217</v>
      </c>
      <c r="I12" s="36">
        <v>241</v>
      </c>
      <c r="J12" s="36">
        <v>458</v>
      </c>
      <c r="K12" s="36"/>
      <c r="L12" s="36">
        <v>207</v>
      </c>
      <c r="M12" s="36">
        <v>150</v>
      </c>
      <c r="N12" s="36">
        <v>356</v>
      </c>
      <c r="O12" s="36"/>
      <c r="P12" s="36">
        <v>201</v>
      </c>
      <c r="Q12" s="36">
        <v>162</v>
      </c>
      <c r="R12" s="36">
        <v>363</v>
      </c>
    </row>
    <row r="13" spans="1:18" ht="15" customHeight="1" x14ac:dyDescent="0.35">
      <c r="A13" s="135"/>
      <c r="B13" s="135"/>
      <c r="C13" s="53" t="s">
        <v>80</v>
      </c>
      <c r="D13" s="36">
        <v>134</v>
      </c>
      <c r="E13" s="36">
        <v>120</v>
      </c>
      <c r="F13" s="36">
        <v>254</v>
      </c>
      <c r="G13" s="36"/>
      <c r="H13" s="36">
        <v>131</v>
      </c>
      <c r="I13" s="36">
        <v>152</v>
      </c>
      <c r="J13" s="36">
        <v>283</v>
      </c>
      <c r="K13" s="36"/>
      <c r="L13" s="36">
        <v>128</v>
      </c>
      <c r="M13" s="36">
        <v>94</v>
      </c>
      <c r="N13" s="36">
        <v>222</v>
      </c>
      <c r="O13" s="36"/>
      <c r="P13" s="36">
        <v>118</v>
      </c>
      <c r="Q13" s="36">
        <v>99</v>
      </c>
      <c r="R13" s="36">
        <v>217</v>
      </c>
    </row>
    <row r="14" spans="1:18" ht="15" customHeight="1" x14ac:dyDescent="0.35">
      <c r="A14" s="135"/>
      <c r="B14" s="135" t="s">
        <v>140</v>
      </c>
      <c r="C14" s="53" t="s">
        <v>76</v>
      </c>
      <c r="D14" s="36">
        <v>1868</v>
      </c>
      <c r="E14" s="36">
        <v>3615</v>
      </c>
      <c r="F14" s="36">
        <v>5484</v>
      </c>
      <c r="G14" s="36"/>
      <c r="H14" s="36">
        <v>1442</v>
      </c>
      <c r="I14" s="36">
        <v>2482</v>
      </c>
      <c r="J14" s="36">
        <v>3924</v>
      </c>
      <c r="K14" s="36"/>
      <c r="L14" s="36">
        <v>1272</v>
      </c>
      <c r="M14" s="36">
        <v>2210</v>
      </c>
      <c r="N14" s="36">
        <v>3482</v>
      </c>
      <c r="O14" s="36"/>
      <c r="P14" s="36">
        <v>1119</v>
      </c>
      <c r="Q14" s="36">
        <v>1751</v>
      </c>
      <c r="R14" s="36">
        <v>2869</v>
      </c>
    </row>
    <row r="15" spans="1:18" ht="15" customHeight="1" x14ac:dyDescent="0.35">
      <c r="A15" s="135"/>
      <c r="B15" s="135"/>
      <c r="C15" s="53" t="s">
        <v>101</v>
      </c>
      <c r="D15" s="36">
        <v>887</v>
      </c>
      <c r="E15" s="36">
        <v>1705</v>
      </c>
      <c r="F15" s="36">
        <v>2593</v>
      </c>
      <c r="G15" s="36"/>
      <c r="H15" s="36">
        <v>747</v>
      </c>
      <c r="I15" s="36">
        <v>1278</v>
      </c>
      <c r="J15" s="36">
        <v>2025</v>
      </c>
      <c r="K15" s="36"/>
      <c r="L15" s="36">
        <v>601</v>
      </c>
      <c r="M15" s="36">
        <v>1044</v>
      </c>
      <c r="N15" s="36">
        <v>1645</v>
      </c>
      <c r="O15" s="36"/>
      <c r="P15" s="36">
        <v>721</v>
      </c>
      <c r="Q15" s="36">
        <v>1121</v>
      </c>
      <c r="R15" s="36">
        <v>1842</v>
      </c>
    </row>
    <row r="16" spans="1:18" ht="15" customHeight="1" x14ac:dyDescent="0.35">
      <c r="A16" s="135"/>
      <c r="B16" s="135"/>
      <c r="C16" s="53" t="s">
        <v>77</v>
      </c>
      <c r="D16" s="36">
        <v>1357</v>
      </c>
      <c r="E16" s="36">
        <v>2750</v>
      </c>
      <c r="F16" s="36">
        <v>4107</v>
      </c>
      <c r="G16" s="36"/>
      <c r="H16" s="36">
        <v>1032</v>
      </c>
      <c r="I16" s="36">
        <v>1885</v>
      </c>
      <c r="J16" s="36">
        <v>2916</v>
      </c>
      <c r="K16" s="36"/>
      <c r="L16" s="36">
        <v>941</v>
      </c>
      <c r="M16" s="36">
        <v>1715</v>
      </c>
      <c r="N16" s="36">
        <v>2656</v>
      </c>
      <c r="O16" s="36"/>
      <c r="P16" s="36">
        <v>855</v>
      </c>
      <c r="Q16" s="36">
        <v>1418</v>
      </c>
      <c r="R16" s="36">
        <v>2273</v>
      </c>
    </row>
    <row r="17" spans="1:18" ht="15" customHeight="1" x14ac:dyDescent="0.35">
      <c r="A17" s="135"/>
      <c r="B17" s="135"/>
      <c r="C17" s="53" t="s">
        <v>78</v>
      </c>
      <c r="D17" s="36">
        <v>4474</v>
      </c>
      <c r="E17" s="36">
        <v>8488</v>
      </c>
      <c r="F17" s="36">
        <v>12962</v>
      </c>
      <c r="G17" s="36"/>
      <c r="H17" s="36">
        <v>3350</v>
      </c>
      <c r="I17" s="36">
        <v>5639</v>
      </c>
      <c r="J17" s="36">
        <v>8988</v>
      </c>
      <c r="K17" s="36"/>
      <c r="L17" s="36">
        <v>2838</v>
      </c>
      <c r="M17" s="36">
        <v>4872</v>
      </c>
      <c r="N17" s="36">
        <v>7710</v>
      </c>
      <c r="O17" s="36"/>
      <c r="P17" s="36">
        <v>2287</v>
      </c>
      <c r="Q17" s="36">
        <v>3482</v>
      </c>
      <c r="R17" s="36">
        <v>5769</v>
      </c>
    </row>
    <row r="18" spans="1:18" ht="15" customHeight="1" x14ac:dyDescent="0.35">
      <c r="A18" s="135"/>
      <c r="B18" s="135"/>
      <c r="C18" s="53" t="s">
        <v>79</v>
      </c>
      <c r="D18" s="36">
        <v>2191</v>
      </c>
      <c r="E18" s="36">
        <v>4258</v>
      </c>
      <c r="F18" s="36">
        <v>6449</v>
      </c>
      <c r="G18" s="36"/>
      <c r="H18" s="36">
        <v>1760</v>
      </c>
      <c r="I18" s="36">
        <v>3043</v>
      </c>
      <c r="J18" s="36">
        <v>4803</v>
      </c>
      <c r="K18" s="36"/>
      <c r="L18" s="36">
        <v>1576</v>
      </c>
      <c r="M18" s="36">
        <v>2757</v>
      </c>
      <c r="N18" s="36">
        <v>4334</v>
      </c>
      <c r="O18" s="36"/>
      <c r="P18" s="36">
        <v>1425</v>
      </c>
      <c r="Q18" s="36">
        <v>2243</v>
      </c>
      <c r="R18" s="36">
        <v>3668</v>
      </c>
    </row>
    <row r="19" spans="1:18" ht="15" customHeight="1" x14ac:dyDescent="0.35">
      <c r="A19" s="135"/>
      <c r="B19" s="135"/>
      <c r="C19" s="53" t="s">
        <v>80</v>
      </c>
      <c r="D19" s="36">
        <v>513</v>
      </c>
      <c r="E19" s="36">
        <v>919</v>
      </c>
      <c r="F19" s="36">
        <v>1432</v>
      </c>
      <c r="G19" s="36"/>
      <c r="H19" s="36">
        <v>491</v>
      </c>
      <c r="I19" s="36">
        <v>778</v>
      </c>
      <c r="J19" s="36">
        <v>1269</v>
      </c>
      <c r="K19" s="36"/>
      <c r="L19" s="36">
        <v>465</v>
      </c>
      <c r="M19" s="36">
        <v>762</v>
      </c>
      <c r="N19" s="36">
        <v>1228</v>
      </c>
      <c r="O19" s="36"/>
      <c r="P19" s="36">
        <v>427</v>
      </c>
      <c r="Q19" s="36">
        <v>611</v>
      </c>
      <c r="R19" s="36">
        <v>1039</v>
      </c>
    </row>
    <row r="20" spans="1:18" ht="15" customHeight="1" x14ac:dyDescent="0.35">
      <c r="A20" s="135"/>
      <c r="B20" s="135" t="s">
        <v>141</v>
      </c>
      <c r="C20" s="53" t="s">
        <v>76</v>
      </c>
      <c r="D20" s="36">
        <v>813</v>
      </c>
      <c r="E20" s="36">
        <v>1547</v>
      </c>
      <c r="F20" s="36">
        <v>2359</v>
      </c>
      <c r="G20" s="36"/>
      <c r="H20" s="36">
        <v>634</v>
      </c>
      <c r="I20" s="36">
        <v>1116</v>
      </c>
      <c r="J20" s="36">
        <v>1751</v>
      </c>
      <c r="K20" s="36"/>
      <c r="L20" s="36">
        <v>1116</v>
      </c>
      <c r="M20" s="36">
        <v>1896</v>
      </c>
      <c r="N20" s="36">
        <v>3011</v>
      </c>
      <c r="O20" s="36"/>
      <c r="P20" s="36">
        <v>585</v>
      </c>
      <c r="Q20" s="36">
        <v>936</v>
      </c>
      <c r="R20" s="36">
        <v>1521</v>
      </c>
    </row>
    <row r="21" spans="1:18" ht="15" customHeight="1" x14ac:dyDescent="0.35">
      <c r="A21" s="135"/>
      <c r="B21" s="135"/>
      <c r="C21" s="53" t="s">
        <v>101</v>
      </c>
      <c r="D21" s="36">
        <v>612</v>
      </c>
      <c r="E21" s="36">
        <v>1113</v>
      </c>
      <c r="F21" s="36">
        <v>1725</v>
      </c>
      <c r="G21" s="36"/>
      <c r="H21" s="36">
        <v>511</v>
      </c>
      <c r="I21" s="36">
        <v>865</v>
      </c>
      <c r="J21" s="36">
        <v>1376</v>
      </c>
      <c r="K21" s="36"/>
      <c r="L21" s="36">
        <v>403</v>
      </c>
      <c r="M21" s="36">
        <v>677</v>
      </c>
      <c r="N21" s="36">
        <v>1080</v>
      </c>
      <c r="O21" s="36"/>
      <c r="P21" s="36">
        <v>429</v>
      </c>
      <c r="Q21" s="36">
        <v>662</v>
      </c>
      <c r="R21" s="36">
        <v>1090</v>
      </c>
    </row>
    <row r="22" spans="1:18" ht="15" customHeight="1" x14ac:dyDescent="0.35">
      <c r="A22" s="135"/>
      <c r="B22" s="135"/>
      <c r="C22" s="53" t="s">
        <v>77</v>
      </c>
      <c r="D22" s="36">
        <v>1197</v>
      </c>
      <c r="E22" s="36">
        <v>2143</v>
      </c>
      <c r="F22" s="36">
        <v>3340</v>
      </c>
      <c r="G22" s="36"/>
      <c r="H22" s="36">
        <v>920</v>
      </c>
      <c r="I22" s="36">
        <v>1538</v>
      </c>
      <c r="J22" s="36">
        <v>2458</v>
      </c>
      <c r="K22" s="36"/>
      <c r="L22" s="36">
        <v>817</v>
      </c>
      <c r="M22" s="36">
        <v>1350</v>
      </c>
      <c r="N22" s="36">
        <v>2167</v>
      </c>
      <c r="O22" s="36"/>
      <c r="P22" s="36">
        <v>699</v>
      </c>
      <c r="Q22" s="36">
        <v>1068</v>
      </c>
      <c r="R22" s="36">
        <v>1767</v>
      </c>
    </row>
    <row r="23" spans="1:18" ht="15" customHeight="1" x14ac:dyDescent="0.35">
      <c r="A23" s="135"/>
      <c r="B23" s="135"/>
      <c r="C23" s="53" t="s">
        <v>78</v>
      </c>
      <c r="D23" s="36">
        <v>2642</v>
      </c>
      <c r="E23" s="36">
        <v>4802</v>
      </c>
      <c r="F23" s="36">
        <v>7443</v>
      </c>
      <c r="G23" s="36"/>
      <c r="H23" s="36">
        <v>1973</v>
      </c>
      <c r="I23" s="36">
        <v>3339</v>
      </c>
      <c r="J23" s="36">
        <v>5312</v>
      </c>
      <c r="K23" s="36"/>
      <c r="L23" s="36">
        <v>1619</v>
      </c>
      <c r="M23" s="36">
        <v>2723</v>
      </c>
      <c r="N23" s="36">
        <v>4342</v>
      </c>
      <c r="O23" s="36"/>
      <c r="P23" s="36">
        <v>1102</v>
      </c>
      <c r="Q23" s="36">
        <v>1701</v>
      </c>
      <c r="R23" s="36">
        <v>2803</v>
      </c>
    </row>
    <row r="24" spans="1:18" ht="15" customHeight="1" x14ac:dyDescent="0.35">
      <c r="A24" s="135"/>
      <c r="B24" s="135"/>
      <c r="C24" s="53" t="s">
        <v>79</v>
      </c>
      <c r="D24" s="36">
        <v>1579</v>
      </c>
      <c r="E24" s="36">
        <v>2869</v>
      </c>
      <c r="F24" s="36">
        <v>4448</v>
      </c>
      <c r="G24" s="36"/>
      <c r="H24" s="36">
        <v>1251</v>
      </c>
      <c r="I24" s="36">
        <v>2117</v>
      </c>
      <c r="J24" s="36">
        <v>3368</v>
      </c>
      <c r="K24" s="36"/>
      <c r="L24" s="36">
        <v>1097</v>
      </c>
      <c r="M24" s="36">
        <v>1844</v>
      </c>
      <c r="N24" s="36">
        <v>2940</v>
      </c>
      <c r="O24" s="36"/>
      <c r="P24" s="36">
        <v>874</v>
      </c>
      <c r="Q24" s="36">
        <v>1349</v>
      </c>
      <c r="R24" s="36">
        <v>2223</v>
      </c>
    </row>
    <row r="25" spans="1:18" ht="15" customHeight="1" x14ac:dyDescent="0.35">
      <c r="A25" s="135"/>
      <c r="B25" s="135"/>
      <c r="C25" s="53" t="s">
        <v>80</v>
      </c>
      <c r="D25" s="36">
        <v>279</v>
      </c>
      <c r="E25" s="36">
        <v>507</v>
      </c>
      <c r="F25" s="36">
        <v>785</v>
      </c>
      <c r="G25" s="36"/>
      <c r="H25" s="36">
        <v>211</v>
      </c>
      <c r="I25" s="36">
        <v>357</v>
      </c>
      <c r="J25" s="36">
        <v>568</v>
      </c>
      <c r="K25" s="36"/>
      <c r="L25" s="36">
        <v>235</v>
      </c>
      <c r="M25" s="36">
        <v>396</v>
      </c>
      <c r="N25" s="36">
        <v>631</v>
      </c>
      <c r="O25" s="36"/>
      <c r="P25" s="36">
        <v>141</v>
      </c>
      <c r="Q25" s="36">
        <v>218</v>
      </c>
      <c r="R25" s="36">
        <v>359</v>
      </c>
    </row>
    <row r="26" spans="1:18" x14ac:dyDescent="0.35">
      <c r="A26" s="135" t="s">
        <v>162</v>
      </c>
      <c r="B26" s="135" t="s">
        <v>138</v>
      </c>
      <c r="C26" s="53" t="s">
        <v>76</v>
      </c>
      <c r="D26" s="36">
        <v>6</v>
      </c>
      <c r="E26" s="36">
        <v>7</v>
      </c>
      <c r="F26" s="36">
        <v>13</v>
      </c>
      <c r="G26" s="36"/>
      <c r="H26" s="36">
        <v>6</v>
      </c>
      <c r="I26" s="36">
        <v>7</v>
      </c>
      <c r="J26" s="36">
        <v>13</v>
      </c>
      <c r="K26" s="36"/>
      <c r="L26" s="36">
        <v>7</v>
      </c>
      <c r="M26" s="36">
        <v>3</v>
      </c>
      <c r="N26" s="36">
        <v>10</v>
      </c>
      <c r="O26" s="36"/>
      <c r="P26" s="36">
        <v>5</v>
      </c>
      <c r="Q26" s="36">
        <v>7</v>
      </c>
      <c r="R26" s="36">
        <v>13</v>
      </c>
    </row>
    <row r="27" spans="1:18" x14ac:dyDescent="0.35">
      <c r="A27" s="135"/>
      <c r="B27" s="135"/>
      <c r="C27" s="53" t="s">
        <v>77</v>
      </c>
      <c r="D27" s="36">
        <v>1</v>
      </c>
      <c r="E27" s="36">
        <v>1</v>
      </c>
      <c r="F27" s="36">
        <v>2</v>
      </c>
      <c r="G27" s="36"/>
      <c r="H27" s="36">
        <v>1</v>
      </c>
      <c r="I27" s="36">
        <v>1</v>
      </c>
      <c r="J27" s="36">
        <v>2</v>
      </c>
      <c r="K27" s="36"/>
      <c r="L27" s="36">
        <v>1</v>
      </c>
      <c r="M27" s="36">
        <v>0</v>
      </c>
      <c r="N27" s="36">
        <v>1</v>
      </c>
      <c r="O27" s="36"/>
      <c r="P27" s="36">
        <v>1</v>
      </c>
      <c r="Q27" s="36">
        <v>1</v>
      </c>
      <c r="R27" s="36">
        <v>2</v>
      </c>
    </row>
    <row r="28" spans="1:18" ht="17.25" customHeight="1" x14ac:dyDescent="0.35">
      <c r="A28" s="135"/>
      <c r="B28" s="135"/>
      <c r="C28" s="53" t="s">
        <v>78</v>
      </c>
      <c r="D28" s="36">
        <v>59</v>
      </c>
      <c r="E28" s="36">
        <v>74</v>
      </c>
      <c r="F28" s="36">
        <v>133</v>
      </c>
      <c r="G28" s="36"/>
      <c r="H28" s="36">
        <v>52</v>
      </c>
      <c r="I28" s="36">
        <v>68</v>
      </c>
      <c r="J28" s="36">
        <v>120</v>
      </c>
      <c r="K28" s="36"/>
      <c r="L28" s="36">
        <v>48</v>
      </c>
      <c r="M28" s="36">
        <v>21</v>
      </c>
      <c r="N28" s="36">
        <v>69</v>
      </c>
      <c r="O28" s="36"/>
      <c r="P28" s="36">
        <v>46</v>
      </c>
      <c r="Q28" s="36">
        <v>64</v>
      </c>
      <c r="R28" s="36">
        <v>110</v>
      </c>
    </row>
    <row r="29" spans="1:18" x14ac:dyDescent="0.35">
      <c r="A29" s="135"/>
      <c r="B29" s="135"/>
      <c r="C29" s="53" t="s">
        <v>79</v>
      </c>
      <c r="D29" s="36">
        <v>29</v>
      </c>
      <c r="E29" s="36">
        <v>36</v>
      </c>
      <c r="F29" s="36">
        <v>65</v>
      </c>
      <c r="G29" s="36"/>
      <c r="H29" s="36">
        <v>28</v>
      </c>
      <c r="I29" s="36">
        <v>37</v>
      </c>
      <c r="J29" s="36">
        <v>65</v>
      </c>
      <c r="K29" s="36"/>
      <c r="L29" s="36">
        <v>28</v>
      </c>
      <c r="M29" s="36">
        <v>12</v>
      </c>
      <c r="N29" s="36">
        <v>40</v>
      </c>
      <c r="O29" s="36"/>
      <c r="P29" s="36">
        <v>27</v>
      </c>
      <c r="Q29" s="36">
        <v>38</v>
      </c>
      <c r="R29" s="36">
        <v>65</v>
      </c>
    </row>
    <row r="30" spans="1:18" x14ac:dyDescent="0.35">
      <c r="A30" s="135"/>
      <c r="B30" s="135"/>
      <c r="C30" s="53" t="s">
        <v>80</v>
      </c>
      <c r="D30" s="36">
        <v>18</v>
      </c>
      <c r="E30" s="36">
        <v>23</v>
      </c>
      <c r="F30" s="36">
        <v>41</v>
      </c>
      <c r="G30" s="36"/>
      <c r="H30" s="36">
        <v>17</v>
      </c>
      <c r="I30" s="36">
        <v>21</v>
      </c>
      <c r="J30" s="36">
        <v>39</v>
      </c>
      <c r="K30" s="36"/>
      <c r="L30" s="36">
        <v>18</v>
      </c>
      <c r="M30" s="36">
        <v>8</v>
      </c>
      <c r="N30" s="36">
        <v>26</v>
      </c>
      <c r="O30" s="36"/>
      <c r="P30" s="36">
        <v>17</v>
      </c>
      <c r="Q30" s="36">
        <v>24</v>
      </c>
      <c r="R30" s="36">
        <v>41</v>
      </c>
    </row>
    <row r="31" spans="1:18" ht="15" customHeight="1" x14ac:dyDescent="0.35">
      <c r="A31" s="135"/>
      <c r="B31" s="135" t="s">
        <v>139</v>
      </c>
      <c r="C31" s="53" t="s">
        <v>76</v>
      </c>
      <c r="D31" s="36">
        <v>131</v>
      </c>
      <c r="E31" s="36">
        <v>96</v>
      </c>
      <c r="F31" s="36">
        <v>227</v>
      </c>
      <c r="G31" s="36"/>
      <c r="H31" s="36">
        <v>115</v>
      </c>
      <c r="I31" s="36">
        <v>83</v>
      </c>
      <c r="J31" s="36">
        <v>198</v>
      </c>
      <c r="K31" s="36"/>
      <c r="L31" s="36">
        <v>116</v>
      </c>
      <c r="M31" s="36">
        <v>77</v>
      </c>
      <c r="N31" s="36">
        <v>194</v>
      </c>
      <c r="O31" s="36"/>
      <c r="P31" s="36">
        <v>101</v>
      </c>
      <c r="Q31" s="36">
        <v>64</v>
      </c>
      <c r="R31" s="36">
        <v>165</v>
      </c>
    </row>
    <row r="32" spans="1:18" ht="15" customHeight="1" x14ac:dyDescent="0.35">
      <c r="A32" s="135"/>
      <c r="B32" s="135"/>
      <c r="C32" s="53" t="s">
        <v>77</v>
      </c>
      <c r="D32" s="36">
        <v>18</v>
      </c>
      <c r="E32" s="36">
        <v>13</v>
      </c>
      <c r="F32" s="36">
        <v>31</v>
      </c>
      <c r="G32" s="36"/>
      <c r="H32" s="36">
        <v>16</v>
      </c>
      <c r="I32" s="36">
        <v>11</v>
      </c>
      <c r="J32" s="36">
        <v>28</v>
      </c>
      <c r="K32" s="36"/>
      <c r="L32" s="36">
        <v>16</v>
      </c>
      <c r="M32" s="36">
        <v>10</v>
      </c>
      <c r="N32" s="36">
        <v>26</v>
      </c>
      <c r="O32" s="36"/>
      <c r="P32" s="36">
        <v>12</v>
      </c>
      <c r="Q32" s="36">
        <v>7</v>
      </c>
      <c r="R32" s="36">
        <v>20</v>
      </c>
    </row>
    <row r="33" spans="1:18" ht="15" customHeight="1" x14ac:dyDescent="0.35">
      <c r="A33" s="135"/>
      <c r="B33" s="135"/>
      <c r="C33" s="53" t="s">
        <v>78</v>
      </c>
      <c r="D33" s="36">
        <v>626</v>
      </c>
      <c r="E33" s="36">
        <v>476</v>
      </c>
      <c r="F33" s="36">
        <v>1102</v>
      </c>
      <c r="G33" s="36"/>
      <c r="H33" s="36">
        <v>534</v>
      </c>
      <c r="I33" s="36">
        <v>393</v>
      </c>
      <c r="J33" s="36">
        <v>927</v>
      </c>
      <c r="K33" s="36"/>
      <c r="L33" s="36">
        <v>504</v>
      </c>
      <c r="M33" s="36">
        <v>347</v>
      </c>
      <c r="N33" s="36">
        <v>851</v>
      </c>
      <c r="O33" s="36"/>
      <c r="P33" s="36">
        <v>447</v>
      </c>
      <c r="Q33" s="36">
        <v>294</v>
      </c>
      <c r="R33" s="36">
        <v>741</v>
      </c>
    </row>
    <row r="34" spans="1:18" ht="15" customHeight="1" x14ac:dyDescent="0.35">
      <c r="A34" s="135"/>
      <c r="B34" s="135"/>
      <c r="C34" s="53" t="s">
        <v>79</v>
      </c>
      <c r="D34" s="36">
        <v>296</v>
      </c>
      <c r="E34" s="36">
        <v>227</v>
      </c>
      <c r="F34" s="36">
        <v>523</v>
      </c>
      <c r="G34" s="36"/>
      <c r="H34" s="36">
        <v>276</v>
      </c>
      <c r="I34" s="36">
        <v>206</v>
      </c>
      <c r="J34" s="36">
        <v>483</v>
      </c>
      <c r="K34" s="36"/>
      <c r="L34" s="36">
        <v>260</v>
      </c>
      <c r="M34" s="36">
        <v>183</v>
      </c>
      <c r="N34" s="36">
        <v>443</v>
      </c>
      <c r="O34" s="36"/>
      <c r="P34" s="36">
        <v>249</v>
      </c>
      <c r="Q34" s="36">
        <v>164</v>
      </c>
      <c r="R34" s="36">
        <v>413</v>
      </c>
    </row>
    <row r="35" spans="1:18" ht="15" customHeight="1" x14ac:dyDescent="0.35">
      <c r="A35" s="135"/>
      <c r="B35" s="135"/>
      <c r="C35" s="53" t="s">
        <v>80</v>
      </c>
      <c r="D35" s="36">
        <v>150</v>
      </c>
      <c r="E35" s="36">
        <v>120</v>
      </c>
      <c r="F35" s="36">
        <v>270</v>
      </c>
      <c r="G35" s="36"/>
      <c r="H35" s="36">
        <v>113</v>
      </c>
      <c r="I35" s="36">
        <v>88</v>
      </c>
      <c r="J35" s="36">
        <v>200</v>
      </c>
      <c r="K35" s="36"/>
      <c r="L35" s="36">
        <v>124</v>
      </c>
      <c r="M35" s="36">
        <v>94</v>
      </c>
      <c r="N35" s="36">
        <v>218</v>
      </c>
      <c r="O35" s="36"/>
      <c r="P35" s="36">
        <v>127</v>
      </c>
      <c r="Q35" s="36">
        <v>84</v>
      </c>
      <c r="R35" s="36">
        <v>212</v>
      </c>
    </row>
    <row r="36" spans="1:18" ht="15" customHeight="1" x14ac:dyDescent="0.35">
      <c r="A36" s="135"/>
      <c r="B36" s="135" t="s">
        <v>140</v>
      </c>
      <c r="C36" s="53" t="s">
        <v>76</v>
      </c>
      <c r="D36" s="36">
        <v>2085</v>
      </c>
      <c r="E36" s="36">
        <v>2884</v>
      </c>
      <c r="F36" s="36">
        <v>4969</v>
      </c>
      <c r="G36" s="36"/>
      <c r="H36" s="36">
        <v>1611</v>
      </c>
      <c r="I36" s="36">
        <v>1977</v>
      </c>
      <c r="J36" s="36">
        <v>3588</v>
      </c>
      <c r="K36" s="36"/>
      <c r="L36" s="36">
        <v>1569</v>
      </c>
      <c r="M36" s="36">
        <v>1915</v>
      </c>
      <c r="N36" s="36">
        <v>3484</v>
      </c>
      <c r="O36" s="36"/>
      <c r="P36" s="36">
        <v>1313</v>
      </c>
      <c r="Q36" s="36">
        <v>1502</v>
      </c>
      <c r="R36" s="36">
        <v>2816</v>
      </c>
    </row>
    <row r="37" spans="1:18" ht="15" customHeight="1" x14ac:dyDescent="0.35">
      <c r="A37" s="135"/>
      <c r="B37" s="135"/>
      <c r="C37" s="53" t="s">
        <v>101</v>
      </c>
      <c r="D37" s="36">
        <v>778</v>
      </c>
      <c r="E37" s="36">
        <v>1063</v>
      </c>
      <c r="F37" s="36">
        <v>1841</v>
      </c>
      <c r="G37" s="36"/>
      <c r="H37" s="36">
        <v>603</v>
      </c>
      <c r="I37" s="36">
        <v>730</v>
      </c>
      <c r="J37" s="36">
        <v>1333</v>
      </c>
      <c r="K37" s="36"/>
      <c r="L37" s="36">
        <v>726</v>
      </c>
      <c r="M37" s="36">
        <v>871</v>
      </c>
      <c r="N37" s="36">
        <v>1596</v>
      </c>
      <c r="O37" s="36"/>
      <c r="P37" s="36">
        <v>718</v>
      </c>
      <c r="Q37" s="36">
        <v>831</v>
      </c>
      <c r="R37" s="36">
        <v>1549</v>
      </c>
    </row>
    <row r="38" spans="1:18" ht="15" customHeight="1" x14ac:dyDescent="0.35">
      <c r="A38" s="135"/>
      <c r="B38" s="135"/>
      <c r="C38" s="53" t="s">
        <v>77</v>
      </c>
      <c r="D38" s="36">
        <v>2380</v>
      </c>
      <c r="E38" s="36">
        <v>3454</v>
      </c>
      <c r="F38" s="36">
        <v>5834</v>
      </c>
      <c r="G38" s="36"/>
      <c r="H38" s="36">
        <v>1826</v>
      </c>
      <c r="I38" s="36">
        <v>2371</v>
      </c>
      <c r="J38" s="36">
        <v>4197</v>
      </c>
      <c r="K38" s="36"/>
      <c r="L38" s="36">
        <v>1681</v>
      </c>
      <c r="M38" s="36">
        <v>2201</v>
      </c>
      <c r="N38" s="36">
        <v>3882</v>
      </c>
      <c r="O38" s="36"/>
      <c r="P38" s="36">
        <v>1545</v>
      </c>
      <c r="Q38" s="36">
        <v>1886</v>
      </c>
      <c r="R38" s="36">
        <v>3431</v>
      </c>
    </row>
    <row r="39" spans="1:18" ht="15" customHeight="1" x14ac:dyDescent="0.35">
      <c r="A39" s="135"/>
      <c r="B39" s="135"/>
      <c r="C39" s="53" t="s">
        <v>78</v>
      </c>
      <c r="D39" s="36">
        <v>6239</v>
      </c>
      <c r="E39" s="36">
        <v>8451</v>
      </c>
      <c r="F39" s="36">
        <v>14690</v>
      </c>
      <c r="G39" s="36"/>
      <c r="H39" s="36">
        <v>4845</v>
      </c>
      <c r="I39" s="36">
        <v>5843</v>
      </c>
      <c r="J39" s="36">
        <v>10688</v>
      </c>
      <c r="K39" s="36"/>
      <c r="L39" s="36">
        <v>3786</v>
      </c>
      <c r="M39" s="36">
        <v>4461</v>
      </c>
      <c r="N39" s="36">
        <v>8247</v>
      </c>
      <c r="O39" s="36"/>
      <c r="P39" s="36">
        <v>3915</v>
      </c>
      <c r="Q39" s="36">
        <v>4515</v>
      </c>
      <c r="R39" s="36">
        <v>8430</v>
      </c>
    </row>
    <row r="40" spans="1:18" ht="15" customHeight="1" x14ac:dyDescent="0.35">
      <c r="A40" s="135"/>
      <c r="B40" s="135"/>
      <c r="C40" s="53" t="s">
        <v>79</v>
      </c>
      <c r="D40" s="36">
        <v>3487</v>
      </c>
      <c r="E40" s="36">
        <v>4798</v>
      </c>
      <c r="F40" s="36">
        <v>8286</v>
      </c>
      <c r="G40" s="36"/>
      <c r="H40" s="36">
        <v>2824</v>
      </c>
      <c r="I40" s="36">
        <v>3440</v>
      </c>
      <c r="J40" s="36">
        <v>6264</v>
      </c>
      <c r="K40" s="36"/>
      <c r="L40" s="36">
        <v>2572</v>
      </c>
      <c r="M40" s="36">
        <v>3106</v>
      </c>
      <c r="N40" s="36">
        <v>5678</v>
      </c>
      <c r="O40" s="36"/>
      <c r="P40" s="36">
        <v>2403</v>
      </c>
      <c r="Q40" s="36">
        <v>2790</v>
      </c>
      <c r="R40" s="36">
        <v>5192</v>
      </c>
    </row>
    <row r="41" spans="1:18" ht="15" customHeight="1" x14ac:dyDescent="0.35">
      <c r="A41" s="135"/>
      <c r="B41" s="135"/>
      <c r="C41" s="53" t="s">
        <v>80</v>
      </c>
      <c r="D41" s="36">
        <v>546</v>
      </c>
      <c r="E41" s="36">
        <v>697</v>
      </c>
      <c r="F41" s="36">
        <v>1243</v>
      </c>
      <c r="G41" s="36"/>
      <c r="H41" s="36">
        <v>564</v>
      </c>
      <c r="I41" s="36">
        <v>643</v>
      </c>
      <c r="J41" s="36">
        <v>1207</v>
      </c>
      <c r="K41" s="36"/>
      <c r="L41" s="36">
        <v>460</v>
      </c>
      <c r="M41" s="36">
        <v>485</v>
      </c>
      <c r="N41" s="36">
        <v>945</v>
      </c>
      <c r="O41" s="36"/>
      <c r="P41" s="36">
        <v>506</v>
      </c>
      <c r="Q41" s="36">
        <v>553</v>
      </c>
      <c r="R41" s="36">
        <v>1059</v>
      </c>
    </row>
    <row r="42" spans="1:18" ht="15" customHeight="1" x14ac:dyDescent="0.35">
      <c r="A42" s="135"/>
      <c r="B42" s="135" t="s">
        <v>141</v>
      </c>
      <c r="C42" s="53" t="s">
        <v>76</v>
      </c>
      <c r="D42" s="36">
        <v>2351</v>
      </c>
      <c r="E42" s="36">
        <v>2965</v>
      </c>
      <c r="F42" s="36">
        <v>5317</v>
      </c>
      <c r="G42" s="36"/>
      <c r="H42" s="36">
        <v>2047</v>
      </c>
      <c r="I42" s="36">
        <v>2368</v>
      </c>
      <c r="J42" s="36">
        <v>4414</v>
      </c>
      <c r="K42" s="36"/>
      <c r="L42" s="36">
        <v>1404</v>
      </c>
      <c r="M42" s="36">
        <v>1565</v>
      </c>
      <c r="N42" s="36">
        <v>2969</v>
      </c>
      <c r="O42" s="36"/>
      <c r="P42" s="36">
        <v>1385</v>
      </c>
      <c r="Q42" s="36">
        <v>1461</v>
      </c>
      <c r="R42" s="36">
        <v>2846</v>
      </c>
    </row>
    <row r="43" spans="1:18" ht="15" customHeight="1" x14ac:dyDescent="0.35">
      <c r="A43" s="135"/>
      <c r="B43" s="135"/>
      <c r="C43" s="53" t="s">
        <v>101</v>
      </c>
      <c r="D43" s="36">
        <v>909</v>
      </c>
      <c r="E43" s="36">
        <v>1132</v>
      </c>
      <c r="F43" s="36">
        <v>2041</v>
      </c>
      <c r="G43" s="36"/>
      <c r="H43" s="36">
        <v>786</v>
      </c>
      <c r="I43" s="36">
        <v>896</v>
      </c>
      <c r="J43" s="36">
        <v>1681</v>
      </c>
      <c r="K43" s="36"/>
      <c r="L43" s="36">
        <v>969</v>
      </c>
      <c r="M43" s="36">
        <v>1069</v>
      </c>
      <c r="N43" s="36">
        <v>2037</v>
      </c>
      <c r="O43" s="36"/>
      <c r="P43" s="36">
        <v>890</v>
      </c>
      <c r="Q43" s="36">
        <v>923</v>
      </c>
      <c r="R43" s="36">
        <v>1813</v>
      </c>
    </row>
    <row r="44" spans="1:18" ht="15" customHeight="1" x14ac:dyDescent="0.35">
      <c r="A44" s="135"/>
      <c r="B44" s="135"/>
      <c r="C44" s="53" t="s">
        <v>77</v>
      </c>
      <c r="D44" s="36">
        <v>4040</v>
      </c>
      <c r="E44" s="36">
        <v>4980</v>
      </c>
      <c r="F44" s="36">
        <v>9020</v>
      </c>
      <c r="G44" s="36"/>
      <c r="H44" s="36">
        <v>3511</v>
      </c>
      <c r="I44" s="36">
        <v>3962</v>
      </c>
      <c r="J44" s="36">
        <v>7472</v>
      </c>
      <c r="K44" s="36"/>
      <c r="L44" s="36">
        <v>3127</v>
      </c>
      <c r="M44" s="36">
        <v>3430</v>
      </c>
      <c r="N44" s="36">
        <v>6557</v>
      </c>
      <c r="O44" s="36"/>
      <c r="P44" s="36">
        <v>2703</v>
      </c>
      <c r="Q44" s="36">
        <v>2784</v>
      </c>
      <c r="R44" s="36">
        <v>5487</v>
      </c>
    </row>
    <row r="45" spans="1:18" ht="15" customHeight="1" x14ac:dyDescent="0.35">
      <c r="A45" s="135"/>
      <c r="B45" s="135"/>
      <c r="C45" s="53" t="s">
        <v>78</v>
      </c>
      <c r="D45" s="36">
        <v>6685</v>
      </c>
      <c r="E45" s="36">
        <v>8321</v>
      </c>
      <c r="F45" s="36">
        <v>15006</v>
      </c>
      <c r="G45" s="36"/>
      <c r="H45" s="36">
        <v>5679</v>
      </c>
      <c r="I45" s="36">
        <v>6476</v>
      </c>
      <c r="J45" s="36">
        <v>12156</v>
      </c>
      <c r="K45" s="36"/>
      <c r="L45" s="36">
        <v>4454</v>
      </c>
      <c r="M45" s="36">
        <v>4912</v>
      </c>
      <c r="N45" s="36">
        <v>9366</v>
      </c>
      <c r="O45" s="36"/>
      <c r="P45" s="36">
        <v>4379</v>
      </c>
      <c r="Q45" s="36">
        <v>4543</v>
      </c>
      <c r="R45" s="36">
        <v>8921</v>
      </c>
    </row>
    <row r="46" spans="1:18" ht="15" customHeight="1" x14ac:dyDescent="0.35">
      <c r="A46" s="135"/>
      <c r="B46" s="135"/>
      <c r="C46" s="53" t="s">
        <v>79</v>
      </c>
      <c r="D46" s="36">
        <v>4171</v>
      </c>
      <c r="E46" s="36">
        <v>5192</v>
      </c>
      <c r="F46" s="36">
        <v>9363</v>
      </c>
      <c r="G46" s="36"/>
      <c r="H46" s="36">
        <v>3741</v>
      </c>
      <c r="I46" s="36">
        <v>4266</v>
      </c>
      <c r="J46" s="36">
        <v>8007</v>
      </c>
      <c r="K46" s="36"/>
      <c r="L46" s="36">
        <v>3487</v>
      </c>
      <c r="M46" s="36">
        <v>3846</v>
      </c>
      <c r="N46" s="36">
        <v>7333</v>
      </c>
      <c r="O46" s="36"/>
      <c r="P46" s="36">
        <v>3010</v>
      </c>
      <c r="Q46" s="36">
        <v>3123</v>
      </c>
      <c r="R46" s="36">
        <v>6134</v>
      </c>
    </row>
    <row r="47" spans="1:18" ht="15" customHeight="1" x14ac:dyDescent="0.35">
      <c r="A47" s="135"/>
      <c r="B47" s="135"/>
      <c r="C47" s="53" t="s">
        <v>80</v>
      </c>
      <c r="D47" s="36">
        <v>469</v>
      </c>
      <c r="E47" s="36">
        <v>584</v>
      </c>
      <c r="F47" s="36">
        <v>1053</v>
      </c>
      <c r="G47" s="36"/>
      <c r="H47" s="36">
        <v>346</v>
      </c>
      <c r="I47" s="36">
        <v>395</v>
      </c>
      <c r="J47" s="36">
        <v>741</v>
      </c>
      <c r="K47" s="36"/>
      <c r="L47" s="36">
        <v>402</v>
      </c>
      <c r="M47" s="36">
        <v>444</v>
      </c>
      <c r="N47" s="36">
        <v>846</v>
      </c>
      <c r="O47" s="36"/>
      <c r="P47" s="36">
        <v>354</v>
      </c>
      <c r="Q47" s="36">
        <v>367</v>
      </c>
      <c r="R47" s="36">
        <v>721</v>
      </c>
    </row>
    <row r="48" spans="1:18" x14ac:dyDescent="0.35">
      <c r="A48" s="135" t="s">
        <v>1</v>
      </c>
      <c r="B48" s="135" t="s">
        <v>138</v>
      </c>
      <c r="C48" s="53" t="s">
        <v>76</v>
      </c>
      <c r="D48" s="36">
        <v>15</v>
      </c>
      <c r="E48" s="36">
        <v>20</v>
      </c>
      <c r="F48" s="36">
        <v>35</v>
      </c>
      <c r="G48" s="36"/>
      <c r="H48" s="36">
        <v>14</v>
      </c>
      <c r="I48" s="36">
        <v>18</v>
      </c>
      <c r="J48" s="36">
        <v>32</v>
      </c>
      <c r="K48" s="36"/>
      <c r="L48" s="36">
        <v>15</v>
      </c>
      <c r="M48" s="36">
        <v>11</v>
      </c>
      <c r="N48" s="36">
        <v>25</v>
      </c>
      <c r="O48" s="36"/>
      <c r="P48" s="36">
        <v>13</v>
      </c>
      <c r="Q48" s="36">
        <v>13</v>
      </c>
      <c r="R48" s="36">
        <v>26</v>
      </c>
    </row>
    <row r="49" spans="1:18" x14ac:dyDescent="0.35">
      <c r="A49" s="135"/>
      <c r="B49" s="135"/>
      <c r="C49" s="53" t="s">
        <v>77</v>
      </c>
      <c r="D49" s="36">
        <v>2</v>
      </c>
      <c r="E49" s="36">
        <v>3</v>
      </c>
      <c r="F49" s="36">
        <v>5</v>
      </c>
      <c r="G49" s="36"/>
      <c r="H49" s="36">
        <v>2</v>
      </c>
      <c r="I49" s="36">
        <v>2</v>
      </c>
      <c r="J49" s="36">
        <v>4</v>
      </c>
      <c r="K49" s="36"/>
      <c r="L49" s="36">
        <v>2</v>
      </c>
      <c r="M49" s="36">
        <v>1</v>
      </c>
      <c r="N49" s="36">
        <v>3</v>
      </c>
      <c r="O49" s="36"/>
      <c r="P49" s="36">
        <v>1</v>
      </c>
      <c r="Q49" s="36">
        <v>1</v>
      </c>
      <c r="R49" s="36">
        <v>3</v>
      </c>
    </row>
    <row r="50" spans="1:18" ht="17.25" customHeight="1" x14ac:dyDescent="0.35">
      <c r="A50" s="135"/>
      <c r="B50" s="135"/>
      <c r="C50" s="53" t="s">
        <v>78</v>
      </c>
      <c r="D50" s="36">
        <v>132</v>
      </c>
      <c r="E50" s="36">
        <v>170</v>
      </c>
      <c r="F50" s="36">
        <v>302</v>
      </c>
      <c r="G50" s="36"/>
      <c r="H50" s="36">
        <v>121</v>
      </c>
      <c r="I50" s="36">
        <v>147</v>
      </c>
      <c r="J50" s="36">
        <v>269</v>
      </c>
      <c r="K50" s="36"/>
      <c r="L50" s="36">
        <v>108</v>
      </c>
      <c r="M50" s="36">
        <v>76</v>
      </c>
      <c r="N50" s="36">
        <v>184</v>
      </c>
      <c r="O50" s="36"/>
      <c r="P50" s="36">
        <v>106</v>
      </c>
      <c r="Q50" s="36">
        <v>104</v>
      </c>
      <c r="R50" s="36">
        <v>211</v>
      </c>
    </row>
    <row r="51" spans="1:18" x14ac:dyDescent="0.35">
      <c r="A51" s="135"/>
      <c r="B51" s="135"/>
      <c r="C51" s="53" t="s">
        <v>79</v>
      </c>
      <c r="D51" s="36">
        <v>57</v>
      </c>
      <c r="E51" s="36">
        <v>73</v>
      </c>
      <c r="F51" s="36">
        <v>130</v>
      </c>
      <c r="G51" s="36"/>
      <c r="H51" s="36">
        <v>55</v>
      </c>
      <c r="I51" s="36">
        <v>67</v>
      </c>
      <c r="J51" s="36">
        <v>122</v>
      </c>
      <c r="K51" s="36"/>
      <c r="L51" s="36">
        <v>55</v>
      </c>
      <c r="M51" s="36">
        <v>37</v>
      </c>
      <c r="N51" s="36">
        <v>91</v>
      </c>
      <c r="O51" s="36"/>
      <c r="P51" s="36">
        <v>53</v>
      </c>
      <c r="Q51" s="36">
        <v>55</v>
      </c>
      <c r="R51" s="36">
        <v>108</v>
      </c>
    </row>
    <row r="52" spans="1:18" x14ac:dyDescent="0.35">
      <c r="A52" s="135"/>
      <c r="B52" s="135"/>
      <c r="C52" s="53" t="s">
        <v>80</v>
      </c>
      <c r="D52" s="36">
        <v>44</v>
      </c>
      <c r="E52" s="36">
        <v>57</v>
      </c>
      <c r="F52" s="36">
        <v>101</v>
      </c>
      <c r="G52" s="36"/>
      <c r="H52" s="36">
        <v>40</v>
      </c>
      <c r="I52" s="36">
        <v>47</v>
      </c>
      <c r="J52" s="36">
        <v>86</v>
      </c>
      <c r="K52" s="36"/>
      <c r="L52" s="36">
        <v>44</v>
      </c>
      <c r="M52" s="36">
        <v>31</v>
      </c>
      <c r="N52" s="36">
        <v>75</v>
      </c>
      <c r="O52" s="36"/>
      <c r="P52" s="36">
        <v>42</v>
      </c>
      <c r="Q52" s="36">
        <v>40</v>
      </c>
      <c r="R52" s="36">
        <v>83</v>
      </c>
    </row>
    <row r="53" spans="1:18" ht="15" customHeight="1" x14ac:dyDescent="0.35">
      <c r="A53" s="135"/>
      <c r="B53" s="135" t="s">
        <v>139</v>
      </c>
      <c r="C53" s="53" t="s">
        <v>76</v>
      </c>
      <c r="D53" s="36">
        <v>288</v>
      </c>
      <c r="E53" s="36">
        <v>230</v>
      </c>
      <c r="F53" s="36">
        <v>518</v>
      </c>
      <c r="G53" s="36"/>
      <c r="H53" s="36">
        <v>255</v>
      </c>
      <c r="I53" s="36">
        <v>234</v>
      </c>
      <c r="J53" s="36">
        <v>489</v>
      </c>
      <c r="K53" s="36"/>
      <c r="L53" s="36">
        <v>262</v>
      </c>
      <c r="M53" s="36">
        <v>183</v>
      </c>
      <c r="N53" s="36">
        <v>445</v>
      </c>
      <c r="O53" s="36"/>
      <c r="P53" s="36">
        <v>225</v>
      </c>
      <c r="Q53" s="36">
        <v>158</v>
      </c>
      <c r="R53" s="36">
        <v>382</v>
      </c>
    </row>
    <row r="54" spans="1:18" ht="15" customHeight="1" x14ac:dyDescent="0.35">
      <c r="A54" s="135"/>
      <c r="B54" s="135"/>
      <c r="C54" s="53" t="s">
        <v>77</v>
      </c>
      <c r="D54" s="36">
        <v>40</v>
      </c>
      <c r="E54" s="36">
        <v>31</v>
      </c>
      <c r="F54" s="36">
        <v>71</v>
      </c>
      <c r="G54" s="36"/>
      <c r="H54" s="36">
        <v>35</v>
      </c>
      <c r="I54" s="36">
        <v>32</v>
      </c>
      <c r="J54" s="36">
        <v>67</v>
      </c>
      <c r="K54" s="36"/>
      <c r="L54" s="36">
        <v>34</v>
      </c>
      <c r="M54" s="36">
        <v>23</v>
      </c>
      <c r="N54" s="36">
        <v>57</v>
      </c>
      <c r="O54" s="36"/>
      <c r="P54" s="36">
        <v>26</v>
      </c>
      <c r="Q54" s="36">
        <v>18</v>
      </c>
      <c r="R54" s="36">
        <v>45</v>
      </c>
    </row>
    <row r="55" spans="1:18" ht="15" customHeight="1" x14ac:dyDescent="0.35">
      <c r="A55" s="135"/>
      <c r="B55" s="135"/>
      <c r="C55" s="53" t="s">
        <v>78</v>
      </c>
      <c r="D55" s="36">
        <v>1193</v>
      </c>
      <c r="E55" s="36">
        <v>979</v>
      </c>
      <c r="F55" s="36">
        <v>2172</v>
      </c>
      <c r="G55" s="36"/>
      <c r="H55" s="36">
        <v>1040</v>
      </c>
      <c r="I55" s="36">
        <v>963</v>
      </c>
      <c r="J55" s="36">
        <v>2003</v>
      </c>
      <c r="K55" s="36"/>
      <c r="L55" s="36">
        <v>968</v>
      </c>
      <c r="M55" s="36">
        <v>684</v>
      </c>
      <c r="N55" s="36">
        <v>1651</v>
      </c>
      <c r="O55" s="36"/>
      <c r="P55" s="36">
        <v>886</v>
      </c>
      <c r="Q55" s="36">
        <v>648</v>
      </c>
      <c r="R55" s="36">
        <v>1534</v>
      </c>
    </row>
    <row r="56" spans="1:18" ht="15" customHeight="1" x14ac:dyDescent="0.35">
      <c r="A56" s="135"/>
      <c r="B56" s="135"/>
      <c r="C56" s="53" t="s">
        <v>79</v>
      </c>
      <c r="D56" s="36">
        <v>519</v>
      </c>
      <c r="E56" s="36">
        <v>423</v>
      </c>
      <c r="F56" s="36">
        <v>942</v>
      </c>
      <c r="G56" s="36"/>
      <c r="H56" s="36">
        <v>493</v>
      </c>
      <c r="I56" s="36">
        <v>448</v>
      </c>
      <c r="J56" s="36">
        <v>941</v>
      </c>
      <c r="K56" s="36"/>
      <c r="L56" s="36">
        <v>467</v>
      </c>
      <c r="M56" s="36">
        <v>333</v>
      </c>
      <c r="N56" s="36">
        <v>800</v>
      </c>
      <c r="O56" s="36"/>
      <c r="P56" s="36">
        <v>450</v>
      </c>
      <c r="Q56" s="36">
        <v>326</v>
      </c>
      <c r="R56" s="36">
        <v>776</v>
      </c>
    </row>
    <row r="57" spans="1:18" ht="15" customHeight="1" x14ac:dyDescent="0.35">
      <c r="A57" s="135"/>
      <c r="B57" s="135"/>
      <c r="C57" s="53" t="s">
        <v>80</v>
      </c>
      <c r="D57" s="36">
        <v>283</v>
      </c>
      <c r="E57" s="36">
        <v>240</v>
      </c>
      <c r="F57" s="36">
        <v>523</v>
      </c>
      <c r="G57" s="36"/>
      <c r="H57" s="36">
        <v>244</v>
      </c>
      <c r="I57" s="36">
        <v>240</v>
      </c>
      <c r="J57" s="36">
        <v>483</v>
      </c>
      <c r="K57" s="36"/>
      <c r="L57" s="36">
        <v>252</v>
      </c>
      <c r="M57" s="36">
        <v>188</v>
      </c>
      <c r="N57" s="36">
        <v>440</v>
      </c>
      <c r="O57" s="36"/>
      <c r="P57" s="36">
        <v>245</v>
      </c>
      <c r="Q57" s="36">
        <v>183</v>
      </c>
      <c r="R57" s="36">
        <v>429</v>
      </c>
    </row>
    <row r="58" spans="1:18" ht="15" customHeight="1" x14ac:dyDescent="0.35">
      <c r="A58" s="135"/>
      <c r="B58" s="135" t="s">
        <v>140</v>
      </c>
      <c r="C58" s="53" t="s">
        <v>76</v>
      </c>
      <c r="D58" s="36">
        <v>3953</v>
      </c>
      <c r="E58" s="36">
        <v>6500</v>
      </c>
      <c r="F58" s="36">
        <v>10453</v>
      </c>
      <c r="G58" s="36"/>
      <c r="H58" s="36">
        <v>3054</v>
      </c>
      <c r="I58" s="36">
        <v>4458</v>
      </c>
      <c r="J58" s="36">
        <v>7512</v>
      </c>
      <c r="K58" s="36"/>
      <c r="L58" s="36">
        <v>2841</v>
      </c>
      <c r="M58" s="36">
        <v>4125</v>
      </c>
      <c r="N58" s="36">
        <v>6966</v>
      </c>
      <c r="O58" s="36"/>
      <c r="P58" s="36">
        <v>2432</v>
      </c>
      <c r="Q58" s="36">
        <v>3253</v>
      </c>
      <c r="R58" s="36">
        <v>5685</v>
      </c>
    </row>
    <row r="59" spans="1:18" ht="15" customHeight="1" x14ac:dyDescent="0.35">
      <c r="A59" s="135"/>
      <c r="B59" s="135"/>
      <c r="C59" s="53" t="s">
        <v>101</v>
      </c>
      <c r="D59" s="36">
        <v>1665</v>
      </c>
      <c r="E59" s="36">
        <v>2769</v>
      </c>
      <c r="F59" s="36">
        <v>4434</v>
      </c>
      <c r="G59" s="36"/>
      <c r="H59" s="36">
        <v>1350</v>
      </c>
      <c r="I59" s="36">
        <v>2008</v>
      </c>
      <c r="J59" s="36">
        <v>3358</v>
      </c>
      <c r="K59" s="36"/>
      <c r="L59" s="36">
        <v>1327</v>
      </c>
      <c r="M59" s="36">
        <v>1914</v>
      </c>
      <c r="N59" s="36">
        <v>3241</v>
      </c>
      <c r="O59" s="36"/>
      <c r="P59" s="36">
        <v>1439</v>
      </c>
      <c r="Q59" s="36">
        <v>1952</v>
      </c>
      <c r="R59" s="36">
        <v>3391</v>
      </c>
    </row>
    <row r="60" spans="1:18" ht="15" customHeight="1" x14ac:dyDescent="0.35">
      <c r="A60" s="135"/>
      <c r="B60" s="135"/>
      <c r="C60" s="53" t="s">
        <v>77</v>
      </c>
      <c r="D60" s="36">
        <v>3737</v>
      </c>
      <c r="E60" s="36">
        <v>6204</v>
      </c>
      <c r="F60" s="36">
        <v>9941</v>
      </c>
      <c r="G60" s="36"/>
      <c r="H60" s="36">
        <v>2858</v>
      </c>
      <c r="I60" s="36">
        <v>4256</v>
      </c>
      <c r="J60" s="36">
        <v>7113</v>
      </c>
      <c r="K60" s="36"/>
      <c r="L60" s="36">
        <v>2622</v>
      </c>
      <c r="M60" s="36">
        <v>3916</v>
      </c>
      <c r="N60" s="36">
        <v>6539</v>
      </c>
      <c r="O60" s="36"/>
      <c r="P60" s="36">
        <v>2400</v>
      </c>
      <c r="Q60" s="36">
        <v>3304</v>
      </c>
      <c r="R60" s="36">
        <v>5704</v>
      </c>
    </row>
    <row r="61" spans="1:18" ht="15" customHeight="1" x14ac:dyDescent="0.35">
      <c r="A61" s="135"/>
      <c r="B61" s="135"/>
      <c r="C61" s="53" t="s">
        <v>78</v>
      </c>
      <c r="D61" s="36">
        <v>10714</v>
      </c>
      <c r="E61" s="36">
        <v>16939</v>
      </c>
      <c r="F61" s="36">
        <v>27653</v>
      </c>
      <c r="G61" s="36"/>
      <c r="H61" s="36">
        <v>8195</v>
      </c>
      <c r="I61" s="36">
        <v>11482</v>
      </c>
      <c r="J61" s="36">
        <v>19676</v>
      </c>
      <c r="K61" s="36"/>
      <c r="L61" s="36">
        <v>6623</v>
      </c>
      <c r="M61" s="36">
        <v>9333</v>
      </c>
      <c r="N61" s="36">
        <v>15957</v>
      </c>
      <c r="O61" s="36"/>
      <c r="P61" s="36">
        <v>6202</v>
      </c>
      <c r="Q61" s="36">
        <v>7997</v>
      </c>
      <c r="R61" s="36">
        <v>14199</v>
      </c>
    </row>
    <row r="62" spans="1:18" ht="15" customHeight="1" x14ac:dyDescent="0.35">
      <c r="A62" s="135"/>
      <c r="B62" s="135"/>
      <c r="C62" s="53" t="s">
        <v>79</v>
      </c>
      <c r="D62" s="36">
        <v>5679</v>
      </c>
      <c r="E62" s="36">
        <v>9056</v>
      </c>
      <c r="F62" s="36">
        <v>14735</v>
      </c>
      <c r="G62" s="36"/>
      <c r="H62" s="36">
        <v>4584</v>
      </c>
      <c r="I62" s="36">
        <v>6483</v>
      </c>
      <c r="J62" s="36">
        <v>11067</v>
      </c>
      <c r="K62" s="36"/>
      <c r="L62" s="36">
        <v>4148</v>
      </c>
      <c r="M62" s="36">
        <v>5864</v>
      </c>
      <c r="N62" s="36">
        <v>10011</v>
      </c>
      <c r="O62" s="36"/>
      <c r="P62" s="36">
        <v>3827</v>
      </c>
      <c r="Q62" s="36">
        <v>5033</v>
      </c>
      <c r="R62" s="36">
        <v>8860</v>
      </c>
    </row>
    <row r="63" spans="1:18" ht="15" customHeight="1" x14ac:dyDescent="0.35">
      <c r="A63" s="135"/>
      <c r="B63" s="135"/>
      <c r="C63" s="53" t="s">
        <v>80</v>
      </c>
      <c r="D63" s="36">
        <v>1059</v>
      </c>
      <c r="E63" s="36">
        <v>1616</v>
      </c>
      <c r="F63" s="36">
        <v>2675</v>
      </c>
      <c r="G63" s="36"/>
      <c r="H63" s="36">
        <v>1055</v>
      </c>
      <c r="I63" s="36">
        <v>1421</v>
      </c>
      <c r="J63" s="36">
        <v>2476</v>
      </c>
      <c r="K63" s="36"/>
      <c r="L63" s="36">
        <v>925</v>
      </c>
      <c r="M63" s="36">
        <v>1247</v>
      </c>
      <c r="N63" s="36">
        <v>2173</v>
      </c>
      <c r="O63" s="36"/>
      <c r="P63" s="36">
        <v>933</v>
      </c>
      <c r="Q63" s="36">
        <v>1164</v>
      </c>
      <c r="R63" s="36">
        <v>2097</v>
      </c>
    </row>
    <row r="64" spans="1:18" ht="15" customHeight="1" x14ac:dyDescent="0.35">
      <c r="A64" s="135"/>
      <c r="B64" s="135" t="s">
        <v>141</v>
      </c>
      <c r="C64" s="53" t="s">
        <v>76</v>
      </c>
      <c r="D64" s="36">
        <v>3164</v>
      </c>
      <c r="E64" s="36">
        <v>4512</v>
      </c>
      <c r="F64" s="36">
        <v>7676</v>
      </c>
      <c r="G64" s="36"/>
      <c r="H64" s="36">
        <v>2681</v>
      </c>
      <c r="I64" s="36">
        <v>3484</v>
      </c>
      <c r="J64" s="36">
        <v>6165</v>
      </c>
      <c r="K64" s="36"/>
      <c r="L64" s="36">
        <v>2520</v>
      </c>
      <c r="M64" s="36">
        <v>3461</v>
      </c>
      <c r="N64" s="36">
        <v>5981</v>
      </c>
      <c r="O64" s="36"/>
      <c r="P64" s="36">
        <v>1970</v>
      </c>
      <c r="Q64" s="36">
        <v>2397</v>
      </c>
      <c r="R64" s="36">
        <v>4367</v>
      </c>
    </row>
    <row r="65" spans="1:18" ht="15" customHeight="1" x14ac:dyDescent="0.35">
      <c r="A65" s="135"/>
      <c r="B65" s="135"/>
      <c r="C65" s="53" t="s">
        <v>101</v>
      </c>
      <c r="D65" s="36">
        <v>1522</v>
      </c>
      <c r="E65" s="36">
        <v>2245</v>
      </c>
      <c r="F65" s="36">
        <v>3766</v>
      </c>
      <c r="G65" s="36"/>
      <c r="H65" s="36">
        <v>1297</v>
      </c>
      <c r="I65" s="36">
        <v>1761</v>
      </c>
      <c r="J65" s="36">
        <v>3057</v>
      </c>
      <c r="K65" s="36"/>
      <c r="L65" s="36">
        <v>1372</v>
      </c>
      <c r="M65" s="36">
        <v>1746</v>
      </c>
      <c r="N65" s="36">
        <v>3117</v>
      </c>
      <c r="O65" s="36"/>
      <c r="P65" s="36">
        <v>1319</v>
      </c>
      <c r="Q65" s="36">
        <v>1585</v>
      </c>
      <c r="R65" s="36">
        <v>2904</v>
      </c>
    </row>
    <row r="66" spans="1:18" ht="15" customHeight="1" x14ac:dyDescent="0.35">
      <c r="A66" s="135"/>
      <c r="B66" s="135"/>
      <c r="C66" s="53" t="s">
        <v>77</v>
      </c>
      <c r="D66" s="36">
        <v>5237</v>
      </c>
      <c r="E66" s="36">
        <v>7123</v>
      </c>
      <c r="F66" s="36">
        <v>12360</v>
      </c>
      <c r="G66" s="36"/>
      <c r="H66" s="36">
        <v>4431</v>
      </c>
      <c r="I66" s="36">
        <v>5500</v>
      </c>
      <c r="J66" s="36">
        <v>9931</v>
      </c>
      <c r="K66" s="36"/>
      <c r="L66" s="36">
        <v>3944</v>
      </c>
      <c r="M66" s="36">
        <v>4780</v>
      </c>
      <c r="N66" s="36">
        <v>8724</v>
      </c>
      <c r="O66" s="36"/>
      <c r="P66" s="36">
        <v>3402</v>
      </c>
      <c r="Q66" s="36">
        <v>3852</v>
      </c>
      <c r="R66" s="36">
        <v>7254</v>
      </c>
    </row>
    <row r="67" spans="1:18" ht="15" customHeight="1" x14ac:dyDescent="0.35">
      <c r="A67" s="135"/>
      <c r="B67" s="135"/>
      <c r="C67" s="53" t="s">
        <v>78</v>
      </c>
      <c r="D67" s="36">
        <v>9327</v>
      </c>
      <c r="E67" s="36">
        <v>13123</v>
      </c>
      <c r="F67" s="36">
        <v>22449</v>
      </c>
      <c r="G67" s="36"/>
      <c r="H67" s="36">
        <v>7652</v>
      </c>
      <c r="I67" s="36">
        <v>9815</v>
      </c>
      <c r="J67" s="36">
        <v>17467</v>
      </c>
      <c r="K67" s="36"/>
      <c r="L67" s="36">
        <v>6073</v>
      </c>
      <c r="M67" s="36">
        <v>7635</v>
      </c>
      <c r="N67" s="36">
        <v>13709</v>
      </c>
      <c r="O67" s="36"/>
      <c r="P67" s="36">
        <v>5481</v>
      </c>
      <c r="Q67" s="36">
        <v>6244</v>
      </c>
      <c r="R67" s="36">
        <v>11724</v>
      </c>
    </row>
    <row r="68" spans="1:18" ht="15" customHeight="1" x14ac:dyDescent="0.35">
      <c r="A68" s="135"/>
      <c r="B68" s="135"/>
      <c r="C68" s="53" t="s">
        <v>79</v>
      </c>
      <c r="D68" s="36">
        <v>5750</v>
      </c>
      <c r="E68" s="36">
        <v>8061</v>
      </c>
      <c r="F68" s="36">
        <v>13811</v>
      </c>
      <c r="G68" s="36"/>
      <c r="H68" s="36">
        <v>4991</v>
      </c>
      <c r="I68" s="36">
        <v>6383</v>
      </c>
      <c r="J68" s="36">
        <v>11374</v>
      </c>
      <c r="K68" s="36"/>
      <c r="L68" s="36">
        <v>4583</v>
      </c>
      <c r="M68" s="36">
        <v>5690</v>
      </c>
      <c r="N68" s="36">
        <v>10273</v>
      </c>
      <c r="O68" s="36"/>
      <c r="P68" s="36">
        <v>3884</v>
      </c>
      <c r="Q68" s="36">
        <v>4472</v>
      </c>
      <c r="R68" s="36">
        <v>8356</v>
      </c>
    </row>
    <row r="69" spans="1:18" ht="15" customHeight="1" x14ac:dyDescent="0.35">
      <c r="A69" s="136"/>
      <c r="B69" s="136"/>
      <c r="C69" s="54" t="s">
        <v>80</v>
      </c>
      <c r="D69" s="37">
        <v>748</v>
      </c>
      <c r="E69" s="37">
        <v>1091</v>
      </c>
      <c r="F69" s="37">
        <v>1838</v>
      </c>
      <c r="G69" s="37"/>
      <c r="H69" s="37">
        <v>557</v>
      </c>
      <c r="I69" s="37">
        <v>752</v>
      </c>
      <c r="J69" s="37">
        <v>1309</v>
      </c>
      <c r="K69" s="37"/>
      <c r="L69" s="37">
        <v>637</v>
      </c>
      <c r="M69" s="37">
        <v>839</v>
      </c>
      <c r="N69" s="37">
        <v>1477</v>
      </c>
      <c r="O69" s="37"/>
      <c r="P69" s="37">
        <v>495</v>
      </c>
      <c r="Q69" s="37">
        <v>585</v>
      </c>
      <c r="R69" s="37">
        <v>1080</v>
      </c>
    </row>
    <row r="70" spans="1:18" x14ac:dyDescent="0.35">
      <c r="A70" s="7" t="s">
        <v>123</v>
      </c>
      <c r="B70" s="66"/>
    </row>
    <row r="71" spans="1:18" x14ac:dyDescent="0.35">
      <c r="A71" s="66"/>
      <c r="B71" s="66"/>
    </row>
    <row r="72" spans="1:18" x14ac:dyDescent="0.35">
      <c r="A72" s="114" t="s">
        <v>149</v>
      </c>
    </row>
  </sheetData>
  <mergeCells count="22">
    <mergeCell ref="H2:J2"/>
    <mergeCell ref="L2:N2"/>
    <mergeCell ref="B4:B8"/>
    <mergeCell ref="B9:B13"/>
    <mergeCell ref="C2:C3"/>
    <mergeCell ref="B2:B3"/>
    <mergeCell ref="P2:R2"/>
    <mergeCell ref="A48:A69"/>
    <mergeCell ref="B48:B52"/>
    <mergeCell ref="B53:B57"/>
    <mergeCell ref="B58:B63"/>
    <mergeCell ref="B64:B69"/>
    <mergeCell ref="B20:B25"/>
    <mergeCell ref="A4:A25"/>
    <mergeCell ref="B14:B19"/>
    <mergeCell ref="A2:A3"/>
    <mergeCell ref="A26:A47"/>
    <mergeCell ref="B26:B30"/>
    <mergeCell ref="B31:B35"/>
    <mergeCell ref="B36:B41"/>
    <mergeCell ref="B42:B47"/>
    <mergeCell ref="D2:F2"/>
  </mergeCells>
  <hyperlinks>
    <hyperlink ref="A72" location="Contents!A1" display="Back to contents page" xr:uid="{6598415A-12FF-4872-A262-FD28619FFF3C}"/>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0"/>
  <sheetViews>
    <sheetView workbookViewId="0"/>
  </sheetViews>
  <sheetFormatPr defaultColWidth="9.1796875" defaultRowHeight="14.5" x14ac:dyDescent="0.35"/>
  <cols>
    <col min="1" max="1" width="11.81640625" style="7" customWidth="1"/>
    <col min="2" max="2" width="20.1796875" style="7" customWidth="1"/>
    <col min="3" max="3" width="29.453125" style="4" customWidth="1"/>
    <col min="4" max="6" width="10.1796875" customWidth="1"/>
  </cols>
  <sheetData>
    <row r="1" spans="1:6" ht="15.5" x14ac:dyDescent="0.35">
      <c r="A1" s="5" t="s">
        <v>104</v>
      </c>
      <c r="B1" s="5"/>
    </row>
    <row r="2" spans="1:6" x14ac:dyDescent="0.35">
      <c r="A2" s="67" t="s">
        <v>0</v>
      </c>
      <c r="B2" s="67" t="s">
        <v>81</v>
      </c>
      <c r="C2" s="68" t="s">
        <v>75</v>
      </c>
      <c r="D2" s="50" t="s">
        <v>64</v>
      </c>
      <c r="E2" s="50" t="s">
        <v>65</v>
      </c>
      <c r="F2" s="50" t="s">
        <v>53</v>
      </c>
    </row>
    <row r="3" spans="1:6" x14ac:dyDescent="0.35">
      <c r="A3" s="134" t="s">
        <v>161</v>
      </c>
      <c r="B3" s="134" t="s">
        <v>157</v>
      </c>
      <c r="C3" s="53" t="s">
        <v>76</v>
      </c>
      <c r="D3" s="61">
        <v>0.30214012350000002</v>
      </c>
      <c r="E3" s="61">
        <v>0.35579347770000003</v>
      </c>
      <c r="F3" s="61">
        <v>0.65818380170000002</v>
      </c>
    </row>
    <row r="4" spans="1:6" x14ac:dyDescent="0.35">
      <c r="A4" s="135"/>
      <c r="B4" s="135"/>
      <c r="C4" s="53" t="s">
        <v>101</v>
      </c>
      <c r="D4" s="62">
        <v>8.6134417500000005E-2</v>
      </c>
      <c r="E4" s="62">
        <v>0.10188125770000001</v>
      </c>
      <c r="F4" s="62">
        <v>0.18800755990000001</v>
      </c>
    </row>
    <row r="5" spans="1:6" x14ac:dyDescent="0.35">
      <c r="A5" s="135"/>
      <c r="B5" s="135"/>
      <c r="C5" s="53" t="s">
        <v>77</v>
      </c>
      <c r="D5" s="62">
        <v>0.3227455904</v>
      </c>
      <c r="E5" s="62">
        <v>0.38659114389999999</v>
      </c>
      <c r="F5" s="62">
        <v>0.7092635115</v>
      </c>
    </row>
    <row r="6" spans="1:6" ht="17.25" customHeight="1" x14ac:dyDescent="0.35">
      <c r="A6" s="135"/>
      <c r="B6" s="135"/>
      <c r="C6" s="53" t="s">
        <v>78</v>
      </c>
      <c r="D6" s="62">
        <v>0.68627725589999999</v>
      </c>
      <c r="E6" s="62">
        <v>0.80348924919999998</v>
      </c>
      <c r="F6" s="62">
        <v>1.4898248292</v>
      </c>
    </row>
    <row r="7" spans="1:6" x14ac:dyDescent="0.35">
      <c r="A7" s="135"/>
      <c r="B7" s="135"/>
      <c r="C7" s="53" t="s">
        <v>79</v>
      </c>
      <c r="D7" s="62">
        <v>0.38476209659999999</v>
      </c>
      <c r="E7" s="62">
        <v>0.44942400430000001</v>
      </c>
      <c r="F7" s="62">
        <v>0.83400115799999996</v>
      </c>
    </row>
    <row r="8" spans="1:6" x14ac:dyDescent="0.35">
      <c r="A8" s="135"/>
      <c r="B8" s="135"/>
      <c r="C8" s="53" t="s">
        <v>80</v>
      </c>
      <c r="D8" s="62">
        <v>0.1109024126</v>
      </c>
      <c r="E8" s="62">
        <v>0.1249947678</v>
      </c>
      <c r="F8" s="62">
        <v>0.2359825026</v>
      </c>
    </row>
    <row r="9" spans="1:6" x14ac:dyDescent="0.35">
      <c r="A9" s="135"/>
      <c r="B9" s="135"/>
      <c r="C9" s="53" t="s">
        <v>82</v>
      </c>
      <c r="D9" s="62">
        <v>1.5127634445</v>
      </c>
      <c r="E9" s="62">
        <v>1.7733799362</v>
      </c>
      <c r="F9" s="62">
        <v>3.2861433806</v>
      </c>
    </row>
    <row r="10" spans="1:6" ht="15" customHeight="1" x14ac:dyDescent="0.35">
      <c r="A10" s="135"/>
      <c r="B10" s="135">
        <v>2</v>
      </c>
      <c r="C10" s="53" t="s">
        <v>76</v>
      </c>
      <c r="D10" s="62">
        <v>0.24596661089999999</v>
      </c>
      <c r="E10" s="62">
        <v>0.27438083489999998</v>
      </c>
      <c r="F10" s="62">
        <v>0.52034378079999999</v>
      </c>
    </row>
    <row r="11" spans="1:6" ht="15" customHeight="1" x14ac:dyDescent="0.35">
      <c r="A11" s="135"/>
      <c r="B11" s="135"/>
      <c r="C11" s="53" t="s">
        <v>101</v>
      </c>
      <c r="D11" s="62">
        <v>7.4930591399999996E-2</v>
      </c>
      <c r="E11" s="62">
        <v>8.3442686200000005E-2</v>
      </c>
      <c r="F11" s="62">
        <v>0.15834459679999999</v>
      </c>
    </row>
    <row r="12" spans="1:6" ht="15" customHeight="1" x14ac:dyDescent="0.35">
      <c r="A12" s="135"/>
      <c r="B12" s="135"/>
      <c r="C12" s="53" t="s">
        <v>77</v>
      </c>
      <c r="D12" s="62">
        <v>0.29811004959999998</v>
      </c>
      <c r="E12" s="62">
        <v>0.33972101910000002</v>
      </c>
      <c r="F12" s="62">
        <v>0.63768939979999995</v>
      </c>
    </row>
    <row r="13" spans="1:6" ht="15" customHeight="1" x14ac:dyDescent="0.35">
      <c r="A13" s="135"/>
      <c r="B13" s="135"/>
      <c r="C13" s="53" t="s">
        <v>78</v>
      </c>
      <c r="D13" s="62">
        <v>0.64241909220000004</v>
      </c>
      <c r="E13" s="62">
        <v>0.70172280009999999</v>
      </c>
      <c r="F13" s="62">
        <v>1.3440174727</v>
      </c>
    </row>
    <row r="14" spans="1:6" ht="15" customHeight="1" x14ac:dyDescent="0.35">
      <c r="A14" s="135"/>
      <c r="B14" s="135"/>
      <c r="C14" s="53" t="s">
        <v>79</v>
      </c>
      <c r="D14" s="62">
        <v>0.39089441850000001</v>
      </c>
      <c r="E14" s="62">
        <v>0.4310500967</v>
      </c>
      <c r="F14" s="62">
        <v>0.82182172760000005</v>
      </c>
    </row>
    <row r="15" spans="1:6" ht="15" customHeight="1" x14ac:dyDescent="0.35">
      <c r="A15" s="135"/>
      <c r="B15" s="135"/>
      <c r="C15" s="53" t="s">
        <v>80</v>
      </c>
      <c r="D15" s="62">
        <v>4.4341684200000002E-2</v>
      </c>
      <c r="E15" s="62">
        <v>4.4755220999999998E-2</v>
      </c>
      <c r="F15" s="62">
        <v>8.9249988399999994E-2</v>
      </c>
    </row>
    <row r="16" spans="1:6" ht="15" customHeight="1" x14ac:dyDescent="0.35">
      <c r="A16" s="135"/>
      <c r="B16" s="135"/>
      <c r="C16" s="53" t="s">
        <v>82</v>
      </c>
      <c r="D16" s="62">
        <v>1.3988420847</v>
      </c>
      <c r="E16" s="62">
        <v>1.5442629363</v>
      </c>
      <c r="F16" s="62">
        <v>2.9431050209</v>
      </c>
    </row>
    <row r="17" spans="1:6" ht="15" customHeight="1" x14ac:dyDescent="0.35">
      <c r="A17" s="135"/>
      <c r="B17" s="135">
        <v>3</v>
      </c>
      <c r="C17" s="53" t="s">
        <v>76</v>
      </c>
      <c r="D17" s="62">
        <v>0.1695698907</v>
      </c>
      <c r="E17" s="62">
        <v>0.19310184999999999</v>
      </c>
      <c r="F17" s="62">
        <v>0.36251385699999999</v>
      </c>
    </row>
    <row r="18" spans="1:6" ht="15" customHeight="1" x14ac:dyDescent="0.35">
      <c r="A18" s="135"/>
      <c r="B18" s="135"/>
      <c r="C18" s="53" t="s">
        <v>101</v>
      </c>
      <c r="D18" s="62">
        <v>6.70496124E-2</v>
      </c>
      <c r="E18" s="62">
        <v>7.6262504499999995E-2</v>
      </c>
      <c r="F18" s="62">
        <v>0.1432884998</v>
      </c>
    </row>
    <row r="19" spans="1:6" ht="15" customHeight="1" x14ac:dyDescent="0.35">
      <c r="A19" s="135"/>
      <c r="B19" s="135"/>
      <c r="C19" s="53" t="s">
        <v>77</v>
      </c>
      <c r="D19" s="62">
        <v>0.28060050850000001</v>
      </c>
      <c r="E19" s="62">
        <v>0.32127259219999998</v>
      </c>
      <c r="F19" s="62">
        <v>0.60180117330000005</v>
      </c>
    </row>
    <row r="20" spans="1:6" ht="15" customHeight="1" x14ac:dyDescent="0.35">
      <c r="A20" s="135"/>
      <c r="B20" s="135"/>
      <c r="C20" s="53" t="s">
        <v>78</v>
      </c>
      <c r="D20" s="62">
        <v>0.55599477090000005</v>
      </c>
      <c r="E20" s="62">
        <v>0.63112318629999997</v>
      </c>
      <c r="F20" s="62">
        <v>1.1868785275</v>
      </c>
    </row>
    <row r="21" spans="1:6" ht="15" customHeight="1" x14ac:dyDescent="0.35">
      <c r="A21" s="135"/>
      <c r="B21" s="135"/>
      <c r="C21" s="53" t="s">
        <v>79</v>
      </c>
      <c r="D21" s="62">
        <v>0.35421657670000001</v>
      </c>
      <c r="E21" s="62">
        <v>0.4020891097</v>
      </c>
      <c r="F21" s="62">
        <v>0.75629348900000004</v>
      </c>
    </row>
    <row r="22" spans="1:6" ht="15" customHeight="1" x14ac:dyDescent="0.35">
      <c r="A22" s="135"/>
      <c r="B22" s="135"/>
      <c r="C22" s="53" t="s">
        <v>80</v>
      </c>
      <c r="D22" s="62">
        <v>5.9201051099999999E-2</v>
      </c>
      <c r="E22" s="62">
        <v>6.5675559800000005E-2</v>
      </c>
      <c r="F22" s="62">
        <v>0.12475212400000001</v>
      </c>
    </row>
    <row r="23" spans="1:6" ht="15" customHeight="1" x14ac:dyDescent="0.35">
      <c r="A23" s="135"/>
      <c r="B23" s="135"/>
      <c r="C23" s="53" t="s">
        <v>82</v>
      </c>
      <c r="D23" s="62">
        <v>1.2364162807000001</v>
      </c>
      <c r="E23" s="62">
        <v>1.4055218087000001</v>
      </c>
      <c r="F23" s="62">
        <v>2.6419380894</v>
      </c>
    </row>
    <row r="24" spans="1:6" ht="15" customHeight="1" x14ac:dyDescent="0.35">
      <c r="A24" s="135"/>
      <c r="B24" s="135">
        <v>4</v>
      </c>
      <c r="C24" s="53" t="s">
        <v>76</v>
      </c>
      <c r="D24" s="62">
        <v>0.15706442509999999</v>
      </c>
      <c r="E24" s="62">
        <v>0.18649269569999999</v>
      </c>
      <c r="F24" s="62">
        <v>0.34355401769999999</v>
      </c>
    </row>
    <row r="25" spans="1:6" ht="15" customHeight="1" x14ac:dyDescent="0.35">
      <c r="A25" s="135"/>
      <c r="B25" s="135"/>
      <c r="C25" s="53" t="s">
        <v>101</v>
      </c>
      <c r="D25" s="62">
        <v>7.7221711299999996E-2</v>
      </c>
      <c r="E25" s="62">
        <v>9.1612835899999995E-2</v>
      </c>
      <c r="F25" s="62">
        <v>0.16889553800000001</v>
      </c>
    </row>
    <row r="26" spans="1:6" ht="15" customHeight="1" x14ac:dyDescent="0.35">
      <c r="A26" s="135"/>
      <c r="B26" s="135"/>
      <c r="C26" s="53" t="s">
        <v>77</v>
      </c>
      <c r="D26" s="62">
        <v>0.24364196539999999</v>
      </c>
      <c r="E26" s="62">
        <v>0.29354937739999998</v>
      </c>
      <c r="F26" s="62">
        <v>0.53744143799999999</v>
      </c>
    </row>
    <row r="27" spans="1:6" ht="15" customHeight="1" x14ac:dyDescent="0.35">
      <c r="A27" s="135"/>
      <c r="B27" s="135"/>
      <c r="C27" s="53" t="s">
        <v>78</v>
      </c>
      <c r="D27" s="62">
        <v>0.56700338390000005</v>
      </c>
      <c r="E27" s="62">
        <v>0.66225767020000004</v>
      </c>
      <c r="F27" s="62">
        <v>1.2295550673</v>
      </c>
    </row>
    <row r="28" spans="1:6" ht="15" customHeight="1" x14ac:dyDescent="0.35">
      <c r="A28" s="135"/>
      <c r="B28" s="135"/>
      <c r="C28" s="53" t="s">
        <v>79</v>
      </c>
      <c r="D28" s="62">
        <v>0.34875460060000002</v>
      </c>
      <c r="E28" s="62">
        <v>0.41039275089999999</v>
      </c>
      <c r="F28" s="62">
        <v>0.75936569310000002</v>
      </c>
    </row>
    <row r="29" spans="1:6" ht="15" customHeight="1" x14ac:dyDescent="0.35">
      <c r="A29" s="135"/>
      <c r="B29" s="135"/>
      <c r="C29" s="53" t="s">
        <v>80</v>
      </c>
      <c r="D29" s="62">
        <v>5.2696502700000002E-2</v>
      </c>
      <c r="E29" s="62">
        <v>5.8693824399999997E-2</v>
      </c>
      <c r="F29" s="62">
        <v>0.1112952858</v>
      </c>
    </row>
    <row r="30" spans="1:6" ht="15" customHeight="1" x14ac:dyDescent="0.35">
      <c r="A30" s="135"/>
      <c r="B30" s="135"/>
      <c r="C30" s="53" t="s">
        <v>82</v>
      </c>
      <c r="D30" s="62">
        <v>1.2090659969999999</v>
      </c>
      <c r="E30" s="62">
        <v>1.4219411172</v>
      </c>
      <c r="F30" s="62">
        <v>2.6310071141</v>
      </c>
    </row>
    <row r="31" spans="1:6" ht="15" customHeight="1" x14ac:dyDescent="0.35">
      <c r="A31" s="135"/>
      <c r="B31" s="135" t="s">
        <v>158</v>
      </c>
      <c r="C31" s="53" t="s">
        <v>76</v>
      </c>
      <c r="D31" s="62">
        <v>0.110632602</v>
      </c>
      <c r="E31" s="62">
        <v>0.121407823</v>
      </c>
      <c r="F31" s="62">
        <v>0.2319385357</v>
      </c>
    </row>
    <row r="32" spans="1:6" ht="15" customHeight="1" x14ac:dyDescent="0.35">
      <c r="A32" s="135"/>
      <c r="B32" s="135"/>
      <c r="C32" s="53" t="s">
        <v>101</v>
      </c>
      <c r="D32" s="62">
        <v>6.1157517000000002E-2</v>
      </c>
      <c r="E32" s="62">
        <v>6.7575508399999998E-2</v>
      </c>
      <c r="F32" s="62">
        <v>0.12873903649999999</v>
      </c>
    </row>
    <row r="33" spans="1:6" ht="15" customHeight="1" x14ac:dyDescent="0.35">
      <c r="A33" s="135"/>
      <c r="B33" s="135"/>
      <c r="C33" s="53" t="s">
        <v>77</v>
      </c>
      <c r="D33" s="62">
        <v>0.20572892579999999</v>
      </c>
      <c r="E33" s="62">
        <v>0.2342774554</v>
      </c>
      <c r="F33" s="62">
        <v>0.44007537600000002</v>
      </c>
    </row>
    <row r="34" spans="1:6" ht="15" customHeight="1" x14ac:dyDescent="0.35">
      <c r="A34" s="135"/>
      <c r="B34" s="135"/>
      <c r="C34" s="53" t="s">
        <v>78</v>
      </c>
      <c r="D34" s="62">
        <v>0.54657252180000004</v>
      </c>
      <c r="E34" s="62">
        <v>0.58860911010000005</v>
      </c>
      <c r="F34" s="62">
        <v>1.1352618742</v>
      </c>
    </row>
    <row r="35" spans="1:6" ht="15" customHeight="1" x14ac:dyDescent="0.35">
      <c r="A35" s="135"/>
      <c r="B35" s="135"/>
      <c r="C35" s="53" t="s">
        <v>79</v>
      </c>
      <c r="D35" s="62">
        <v>0.34965971379999999</v>
      </c>
      <c r="E35" s="62">
        <v>0.38051410409999997</v>
      </c>
      <c r="F35" s="62">
        <v>0.73032079260000005</v>
      </c>
    </row>
    <row r="36" spans="1:6" ht="15" customHeight="1" x14ac:dyDescent="0.35">
      <c r="A36" s="135"/>
      <c r="B36" s="135"/>
      <c r="C36" s="53" t="s">
        <v>80</v>
      </c>
      <c r="D36" s="62">
        <v>3.2680801000000002E-2</v>
      </c>
      <c r="E36" s="62">
        <v>3.0962928599999998E-2</v>
      </c>
      <c r="F36" s="62">
        <v>6.3647134600000002E-2</v>
      </c>
    </row>
    <row r="37" spans="1:6" ht="15" customHeight="1" x14ac:dyDescent="0.35">
      <c r="A37" s="135"/>
      <c r="B37" s="135"/>
      <c r="C37" s="53" t="s">
        <v>82</v>
      </c>
      <c r="D37" s="62">
        <v>1.1161817082000001</v>
      </c>
      <c r="E37" s="62">
        <v>1.2140706558000001</v>
      </c>
      <c r="F37" s="62">
        <v>2.3302523640000001</v>
      </c>
    </row>
    <row r="38" spans="1:6" x14ac:dyDescent="0.35">
      <c r="A38" s="135" t="s">
        <v>162</v>
      </c>
      <c r="B38" s="135" t="s">
        <v>157</v>
      </c>
      <c r="C38" s="53" t="s">
        <v>76</v>
      </c>
      <c r="D38" s="62">
        <v>0.20833593710000001</v>
      </c>
      <c r="E38" s="62">
        <v>0.35099714770000001</v>
      </c>
      <c r="F38" s="62">
        <v>0.55948068839999998</v>
      </c>
    </row>
    <row r="39" spans="1:6" x14ac:dyDescent="0.35">
      <c r="A39" s="135"/>
      <c r="B39" s="135"/>
      <c r="C39" s="53" t="s">
        <v>101</v>
      </c>
      <c r="D39" s="62">
        <v>9.3506061599999996E-2</v>
      </c>
      <c r="E39" s="62">
        <v>0.1549231019</v>
      </c>
      <c r="F39" s="62">
        <v>0.2484113318</v>
      </c>
    </row>
    <row r="40" spans="1:6" x14ac:dyDescent="0.35">
      <c r="A40" s="135"/>
      <c r="B40" s="135"/>
      <c r="C40" s="53" t="s">
        <v>77</v>
      </c>
      <c r="D40" s="62">
        <v>0.1824018167</v>
      </c>
      <c r="E40" s="62">
        <v>0.30857148309999999</v>
      </c>
      <c r="F40" s="62">
        <v>0.49096653109999999</v>
      </c>
    </row>
    <row r="41" spans="1:6" ht="17.25" customHeight="1" x14ac:dyDescent="0.35">
      <c r="A41" s="135"/>
      <c r="B41" s="135"/>
      <c r="C41" s="53" t="s">
        <v>78</v>
      </c>
      <c r="D41" s="62">
        <v>0.54256378670000005</v>
      </c>
      <c r="E41" s="62">
        <v>0.89201946850000002</v>
      </c>
      <c r="F41" s="62">
        <v>1.4345992475</v>
      </c>
    </row>
    <row r="42" spans="1:6" x14ac:dyDescent="0.35">
      <c r="A42" s="135"/>
      <c r="B42" s="135"/>
      <c r="C42" s="53" t="s">
        <v>79</v>
      </c>
      <c r="D42" s="62">
        <v>0.26741166030000002</v>
      </c>
      <c r="E42" s="62">
        <v>0.44165126380000003</v>
      </c>
      <c r="F42" s="62">
        <v>0.7090514282</v>
      </c>
    </row>
    <row r="43" spans="1:6" x14ac:dyDescent="0.35">
      <c r="A43" s="135"/>
      <c r="B43" s="135"/>
      <c r="C43" s="53" t="s">
        <v>80</v>
      </c>
      <c r="D43" s="62">
        <v>6.7622375799999995E-2</v>
      </c>
      <c r="E43" s="62">
        <v>0.1000059089</v>
      </c>
      <c r="F43" s="62">
        <v>0.1676637181</v>
      </c>
    </row>
    <row r="44" spans="1:6" x14ac:dyDescent="0.35">
      <c r="A44" s="135"/>
      <c r="B44" s="135"/>
      <c r="C44" s="53" t="s">
        <v>82</v>
      </c>
      <c r="D44" s="62">
        <v>1.0867399281000001</v>
      </c>
      <c r="E44" s="62">
        <v>1.7911399688</v>
      </c>
      <c r="F44" s="62">
        <v>2.8778798970000001</v>
      </c>
    </row>
    <row r="45" spans="1:6" ht="15" customHeight="1" x14ac:dyDescent="0.35">
      <c r="A45" s="135"/>
      <c r="B45" s="135">
        <v>2</v>
      </c>
      <c r="C45" s="53" t="s">
        <v>76</v>
      </c>
      <c r="D45" s="62">
        <v>0.16081387999999999</v>
      </c>
      <c r="E45" s="62">
        <v>0.26538105670000001</v>
      </c>
      <c r="F45" s="62">
        <v>0.42622376740000001</v>
      </c>
    </row>
    <row r="46" spans="1:6" ht="15" customHeight="1" x14ac:dyDescent="0.35">
      <c r="A46" s="135"/>
      <c r="B46" s="135"/>
      <c r="C46" s="53" t="s">
        <v>101</v>
      </c>
      <c r="D46" s="62">
        <v>8.7049658700000004E-2</v>
      </c>
      <c r="E46" s="62">
        <v>0.14286118810000001</v>
      </c>
      <c r="F46" s="62">
        <v>0.2299081318</v>
      </c>
    </row>
    <row r="47" spans="1:6" ht="15" customHeight="1" x14ac:dyDescent="0.35">
      <c r="A47" s="135"/>
      <c r="B47" s="135"/>
      <c r="C47" s="53" t="s">
        <v>77</v>
      </c>
      <c r="D47" s="62">
        <v>0.14547083929999999</v>
      </c>
      <c r="E47" s="62">
        <v>0.243921524</v>
      </c>
      <c r="F47" s="62">
        <v>0.38939711339999999</v>
      </c>
    </row>
    <row r="48" spans="1:6" ht="15" customHeight="1" x14ac:dyDescent="0.35">
      <c r="A48" s="135"/>
      <c r="B48" s="135"/>
      <c r="C48" s="53" t="s">
        <v>78</v>
      </c>
      <c r="D48" s="62">
        <v>0.40780377470000001</v>
      </c>
      <c r="E48" s="62">
        <v>0.65337669909999996</v>
      </c>
      <c r="F48" s="62">
        <v>1.0611966510999999</v>
      </c>
    </row>
    <row r="49" spans="1:6" ht="15" customHeight="1" x14ac:dyDescent="0.35">
      <c r="A49" s="135"/>
      <c r="B49" s="135"/>
      <c r="C49" s="53" t="s">
        <v>79</v>
      </c>
      <c r="D49" s="62">
        <v>0.2405217221</v>
      </c>
      <c r="E49" s="62">
        <v>0.39255578270000002</v>
      </c>
      <c r="F49" s="62">
        <v>0.63308033900000005</v>
      </c>
    </row>
    <row r="50" spans="1:6" ht="15" customHeight="1" x14ac:dyDescent="0.35">
      <c r="A50" s="135"/>
      <c r="B50" s="135"/>
      <c r="C50" s="53" t="s">
        <v>80</v>
      </c>
      <c r="D50" s="62">
        <v>5.9381336399999998E-2</v>
      </c>
      <c r="E50" s="62">
        <v>8.9776606499999995E-2</v>
      </c>
      <c r="F50" s="62">
        <v>0.14921780479999999</v>
      </c>
    </row>
    <row r="51" spans="1:6" ht="15" customHeight="1" x14ac:dyDescent="0.35">
      <c r="A51" s="135"/>
      <c r="B51" s="135"/>
      <c r="C51" s="53" t="s">
        <v>82</v>
      </c>
      <c r="D51" s="62">
        <v>0.90448599519999995</v>
      </c>
      <c r="E51" s="62">
        <v>1.4671072089999999</v>
      </c>
      <c r="F51" s="62">
        <v>2.3715932040999999</v>
      </c>
    </row>
    <row r="52" spans="1:6" ht="15" customHeight="1" x14ac:dyDescent="0.35">
      <c r="A52" s="135"/>
      <c r="B52" s="135">
        <v>3</v>
      </c>
      <c r="C52" s="53" t="s">
        <v>76</v>
      </c>
      <c r="D52" s="62">
        <v>0.1291029112</v>
      </c>
      <c r="E52" s="62">
        <v>0.20741474309999999</v>
      </c>
      <c r="F52" s="62">
        <v>0.33652503639999998</v>
      </c>
    </row>
    <row r="53" spans="1:6" ht="15" customHeight="1" x14ac:dyDescent="0.35">
      <c r="A53" s="135"/>
      <c r="B53" s="135"/>
      <c r="C53" s="53" t="s">
        <v>101</v>
      </c>
      <c r="D53" s="62">
        <v>8.7443559500000004E-2</v>
      </c>
      <c r="E53" s="62">
        <v>0.14119358539999999</v>
      </c>
      <c r="F53" s="62">
        <v>0.228637596</v>
      </c>
    </row>
    <row r="54" spans="1:6" ht="15" customHeight="1" x14ac:dyDescent="0.35">
      <c r="A54" s="135"/>
      <c r="B54" s="135"/>
      <c r="C54" s="53" t="s">
        <v>77</v>
      </c>
      <c r="D54" s="62">
        <v>0.14954245799999999</v>
      </c>
      <c r="E54" s="62">
        <v>0.2486225815</v>
      </c>
      <c r="F54" s="62">
        <v>0.39814821690000002</v>
      </c>
    </row>
    <row r="55" spans="1:6" ht="15" customHeight="1" x14ac:dyDescent="0.35">
      <c r="A55" s="135"/>
      <c r="B55" s="135"/>
      <c r="C55" s="53" t="s">
        <v>78</v>
      </c>
      <c r="D55" s="62">
        <v>0.43303642250000002</v>
      </c>
      <c r="E55" s="62">
        <v>0.67021767300000001</v>
      </c>
      <c r="F55" s="62">
        <v>1.1032880577999999</v>
      </c>
    </row>
    <row r="56" spans="1:6" ht="15" customHeight="1" x14ac:dyDescent="0.35">
      <c r="A56" s="135"/>
      <c r="B56" s="135"/>
      <c r="C56" s="53" t="s">
        <v>79</v>
      </c>
      <c r="D56" s="62">
        <v>0.22983232880000001</v>
      </c>
      <c r="E56" s="62">
        <v>0.36358645000000001</v>
      </c>
      <c r="F56" s="62">
        <v>0.59342778880000002</v>
      </c>
    </row>
    <row r="57" spans="1:6" ht="15" customHeight="1" x14ac:dyDescent="0.35">
      <c r="A57" s="135"/>
      <c r="B57" s="135"/>
      <c r="C57" s="53" t="s">
        <v>80</v>
      </c>
      <c r="D57" s="62">
        <v>6.6839172200000005E-2</v>
      </c>
      <c r="E57" s="62">
        <v>9.5393993100000005E-2</v>
      </c>
      <c r="F57" s="62">
        <v>0.1622183552</v>
      </c>
    </row>
    <row r="58" spans="1:6" ht="15" customHeight="1" x14ac:dyDescent="0.35">
      <c r="A58" s="135"/>
      <c r="B58" s="135"/>
      <c r="C58" s="53" t="s">
        <v>82</v>
      </c>
      <c r="D58" s="62">
        <v>0.89599404709999997</v>
      </c>
      <c r="E58" s="62">
        <v>1.4086642975999999</v>
      </c>
      <c r="F58" s="62">
        <v>2.3046583447</v>
      </c>
    </row>
    <row r="59" spans="1:6" ht="15" customHeight="1" x14ac:dyDescent="0.35">
      <c r="A59" s="135"/>
      <c r="B59" s="135">
        <v>4</v>
      </c>
      <c r="C59" s="53" t="s">
        <v>76</v>
      </c>
      <c r="D59" s="62">
        <v>0.16845524170000001</v>
      </c>
      <c r="E59" s="62">
        <v>0.2979033284</v>
      </c>
      <c r="F59" s="62">
        <v>0.46627781029999998</v>
      </c>
    </row>
    <row r="60" spans="1:6" ht="15" customHeight="1" x14ac:dyDescent="0.35">
      <c r="A60" s="135"/>
      <c r="B60" s="135"/>
      <c r="C60" s="53" t="s">
        <v>101</v>
      </c>
      <c r="D60" s="62">
        <v>9.7454079099999993E-2</v>
      </c>
      <c r="E60" s="62">
        <v>0.17473794349999999</v>
      </c>
      <c r="F60" s="62">
        <v>0.27220096129999999</v>
      </c>
    </row>
    <row r="61" spans="1:6" ht="15" customHeight="1" x14ac:dyDescent="0.35">
      <c r="A61" s="135"/>
      <c r="B61" s="135"/>
      <c r="C61" s="53" t="s">
        <v>77</v>
      </c>
      <c r="D61" s="62">
        <v>0.12870080859999999</v>
      </c>
      <c r="E61" s="62">
        <v>0.23705993889999999</v>
      </c>
      <c r="F61" s="62">
        <v>0.3657571812</v>
      </c>
    </row>
    <row r="62" spans="1:6" ht="15" customHeight="1" x14ac:dyDescent="0.35">
      <c r="A62" s="135"/>
      <c r="B62" s="135"/>
      <c r="C62" s="53" t="s">
        <v>78</v>
      </c>
      <c r="D62" s="62">
        <v>0.3871270792</v>
      </c>
      <c r="E62" s="62">
        <v>0.65908098289999995</v>
      </c>
      <c r="F62" s="62">
        <v>1.0461726025</v>
      </c>
    </row>
    <row r="63" spans="1:6" ht="15" customHeight="1" x14ac:dyDescent="0.35">
      <c r="A63" s="135"/>
      <c r="B63" s="135"/>
      <c r="C63" s="53" t="s">
        <v>79</v>
      </c>
      <c r="D63" s="62">
        <v>0.21648997780000001</v>
      </c>
      <c r="E63" s="62">
        <v>0.37870874469999999</v>
      </c>
      <c r="F63" s="62">
        <v>0.59517526340000004</v>
      </c>
    </row>
    <row r="64" spans="1:6" ht="15" customHeight="1" x14ac:dyDescent="0.35">
      <c r="A64" s="135"/>
      <c r="B64" s="135"/>
      <c r="C64" s="53" t="s">
        <v>80</v>
      </c>
      <c r="D64" s="62">
        <v>6.4075451399999997E-2</v>
      </c>
      <c r="E64" s="62">
        <v>0.10600896310000001</v>
      </c>
      <c r="F64" s="62">
        <v>0.1700305053</v>
      </c>
    </row>
    <row r="65" spans="1:6" ht="15" customHeight="1" x14ac:dyDescent="0.35">
      <c r="A65" s="135"/>
      <c r="B65" s="135"/>
      <c r="C65" s="53" t="s">
        <v>82</v>
      </c>
      <c r="D65" s="62">
        <v>0.86165150509999999</v>
      </c>
      <c r="E65" s="62">
        <v>1.4998731347000001</v>
      </c>
      <c r="F65" s="62">
        <v>2.3615246396999998</v>
      </c>
    </row>
    <row r="66" spans="1:6" ht="15" customHeight="1" x14ac:dyDescent="0.35">
      <c r="A66" s="135"/>
      <c r="B66" s="135" t="s">
        <v>158</v>
      </c>
      <c r="C66" s="53" t="s">
        <v>76</v>
      </c>
      <c r="D66" s="62">
        <v>0.12881785679999999</v>
      </c>
      <c r="E66" s="62">
        <v>0.2130807009</v>
      </c>
      <c r="F66" s="62">
        <v>0.34177500500000002</v>
      </c>
    </row>
    <row r="67" spans="1:6" ht="15" customHeight="1" x14ac:dyDescent="0.35">
      <c r="A67" s="135"/>
      <c r="B67" s="135"/>
      <c r="C67" s="53" t="s">
        <v>101</v>
      </c>
      <c r="D67" s="62">
        <v>9.0437521300000004E-2</v>
      </c>
      <c r="E67" s="62">
        <v>0.15222487879999999</v>
      </c>
      <c r="F67" s="62">
        <v>0.2426764911</v>
      </c>
    </row>
    <row r="68" spans="1:6" ht="15" customHeight="1" x14ac:dyDescent="0.35">
      <c r="A68" s="135"/>
      <c r="B68" s="135"/>
      <c r="C68" s="53" t="s">
        <v>77</v>
      </c>
      <c r="D68" s="62">
        <v>0.1049038949</v>
      </c>
      <c r="E68" s="62">
        <v>0.1829268832</v>
      </c>
      <c r="F68" s="62">
        <v>0.28785315</v>
      </c>
    </row>
    <row r="69" spans="1:6" ht="15" customHeight="1" x14ac:dyDescent="0.35">
      <c r="A69" s="135"/>
      <c r="B69" s="135"/>
      <c r="C69" s="53" t="s">
        <v>78</v>
      </c>
      <c r="D69" s="62">
        <v>0.32954044850000003</v>
      </c>
      <c r="E69" s="62">
        <v>0.52512611310000001</v>
      </c>
      <c r="F69" s="62">
        <v>0.85462833449999998</v>
      </c>
    </row>
    <row r="70" spans="1:6" ht="15" customHeight="1" x14ac:dyDescent="0.35">
      <c r="A70" s="135"/>
      <c r="B70" s="135"/>
      <c r="C70" s="53" t="s">
        <v>79</v>
      </c>
      <c r="D70" s="62">
        <v>0.21306035500000001</v>
      </c>
      <c r="E70" s="62">
        <v>0.35199258900000002</v>
      </c>
      <c r="F70" s="62">
        <v>0.56507492989999997</v>
      </c>
    </row>
    <row r="71" spans="1:6" ht="15" customHeight="1" x14ac:dyDescent="0.35">
      <c r="A71" s="135"/>
      <c r="B71" s="135"/>
      <c r="C71" s="53" t="s">
        <v>80</v>
      </c>
      <c r="D71" s="62">
        <v>4.48920243E-2</v>
      </c>
      <c r="E71" s="62">
        <v>7.3255956499999997E-2</v>
      </c>
      <c r="F71" s="62">
        <v>0.1181151921</v>
      </c>
    </row>
    <row r="72" spans="1:6" ht="15" customHeight="1" x14ac:dyDescent="0.35">
      <c r="A72" s="135"/>
      <c r="B72" s="135"/>
      <c r="C72" s="53" t="s">
        <v>82</v>
      </c>
      <c r="D72" s="62">
        <v>0.76033800090000003</v>
      </c>
      <c r="E72" s="62">
        <v>1.2466640714999999</v>
      </c>
      <c r="F72" s="62">
        <v>2.0070020724000002</v>
      </c>
    </row>
    <row r="73" spans="1:6" x14ac:dyDescent="0.35">
      <c r="A73" s="135" t="s">
        <v>1</v>
      </c>
      <c r="B73" s="135" t="s">
        <v>157</v>
      </c>
      <c r="C73" s="53" t="s">
        <v>76</v>
      </c>
      <c r="D73" s="62">
        <v>0.26532247250000002</v>
      </c>
      <c r="E73" s="62">
        <v>0.35896294420000002</v>
      </c>
      <c r="F73" s="62">
        <v>0.62439587119999995</v>
      </c>
    </row>
    <row r="74" spans="1:6" x14ac:dyDescent="0.35">
      <c r="A74" s="135"/>
      <c r="B74" s="135"/>
      <c r="C74" s="53" t="s">
        <v>101</v>
      </c>
      <c r="D74" s="62">
        <v>9.0855028800000001E-2</v>
      </c>
      <c r="E74" s="62">
        <v>0.12733056949999999</v>
      </c>
      <c r="F74" s="62">
        <v>0.2181659067</v>
      </c>
    </row>
    <row r="75" spans="1:6" x14ac:dyDescent="0.35">
      <c r="A75" s="135"/>
      <c r="B75" s="135"/>
      <c r="C75" s="53" t="s">
        <v>77</v>
      </c>
      <c r="D75" s="62">
        <v>0.2664823751</v>
      </c>
      <c r="E75" s="62">
        <v>0.3563678482</v>
      </c>
      <c r="F75" s="62">
        <v>0.6227732963</v>
      </c>
    </row>
    <row r="76" spans="1:6" ht="17.25" customHeight="1" x14ac:dyDescent="0.35">
      <c r="A76" s="135"/>
      <c r="B76" s="135"/>
      <c r="C76" s="53" t="s">
        <v>78</v>
      </c>
      <c r="D76" s="62">
        <v>0.62551750080000001</v>
      </c>
      <c r="E76" s="62">
        <v>0.84369030020000002</v>
      </c>
      <c r="F76" s="62">
        <v>1.4691772429000001</v>
      </c>
    </row>
    <row r="77" spans="1:6" x14ac:dyDescent="0.35">
      <c r="A77" s="135"/>
      <c r="B77" s="135"/>
      <c r="C77" s="53" t="s">
        <v>79</v>
      </c>
      <c r="D77" s="62">
        <v>0.33592121489999999</v>
      </c>
      <c r="E77" s="62">
        <v>0.44814831869999999</v>
      </c>
      <c r="F77" s="62">
        <v>0.7839385566</v>
      </c>
    </row>
    <row r="78" spans="1:6" x14ac:dyDescent="0.35">
      <c r="A78" s="135"/>
      <c r="B78" s="135"/>
      <c r="C78" s="53" t="s">
        <v>80</v>
      </c>
      <c r="D78" s="62">
        <v>9.3327066099999995E-2</v>
      </c>
      <c r="E78" s="62">
        <v>0.1162878151</v>
      </c>
      <c r="F78" s="62">
        <v>0.20963758230000001</v>
      </c>
    </row>
    <row r="79" spans="1:6" x14ac:dyDescent="0.35">
      <c r="A79" s="135"/>
      <c r="B79" s="135"/>
      <c r="C79" s="53" t="s">
        <v>82</v>
      </c>
      <c r="D79" s="62">
        <v>1.3381394386000001</v>
      </c>
      <c r="E79" s="62">
        <v>1.792181158</v>
      </c>
      <c r="F79" s="62">
        <v>3.1303205964999998</v>
      </c>
    </row>
    <row r="80" spans="1:6" ht="15" customHeight="1" x14ac:dyDescent="0.35">
      <c r="A80" s="135"/>
      <c r="B80" s="135">
        <v>2</v>
      </c>
      <c r="C80" s="53" t="s">
        <v>76</v>
      </c>
      <c r="D80" s="62">
        <v>0.21164523160000001</v>
      </c>
      <c r="E80" s="62">
        <v>0.27461265080000002</v>
      </c>
      <c r="F80" s="62">
        <v>0.48627999869999999</v>
      </c>
    </row>
    <row r="81" spans="1:6" ht="15" customHeight="1" x14ac:dyDescent="0.35">
      <c r="A81" s="135"/>
      <c r="B81" s="135"/>
      <c r="C81" s="53" t="s">
        <v>101</v>
      </c>
      <c r="D81" s="62">
        <v>8.1070534999999999E-2</v>
      </c>
      <c r="E81" s="62">
        <v>0.110260704</v>
      </c>
      <c r="F81" s="62">
        <v>0.19135570599999999</v>
      </c>
    </row>
    <row r="82" spans="1:6" ht="15" customHeight="1" x14ac:dyDescent="0.35">
      <c r="A82" s="135"/>
      <c r="B82" s="135"/>
      <c r="C82" s="53" t="s">
        <v>77</v>
      </c>
      <c r="D82" s="62">
        <v>0.2354956581</v>
      </c>
      <c r="E82" s="62">
        <v>0.30136227310000002</v>
      </c>
      <c r="F82" s="62">
        <v>0.53677445570000004</v>
      </c>
    </row>
    <row r="83" spans="1:6" ht="15" customHeight="1" x14ac:dyDescent="0.35">
      <c r="A83" s="135"/>
      <c r="B83" s="135"/>
      <c r="C83" s="53" t="s">
        <v>78</v>
      </c>
      <c r="D83" s="62">
        <v>0.54411499090000004</v>
      </c>
      <c r="E83" s="62">
        <v>0.68712441540000002</v>
      </c>
      <c r="F83" s="62">
        <v>1.2311637763000001</v>
      </c>
    </row>
    <row r="84" spans="1:6" ht="15" customHeight="1" x14ac:dyDescent="0.35">
      <c r="A84" s="135"/>
      <c r="B84" s="135"/>
      <c r="C84" s="53" t="s">
        <v>79</v>
      </c>
      <c r="D84" s="62">
        <v>0.32733400010000002</v>
      </c>
      <c r="E84" s="62">
        <v>0.4167288441</v>
      </c>
      <c r="F84" s="62">
        <v>0.74401387330000002</v>
      </c>
    </row>
    <row r="85" spans="1:6" ht="15" customHeight="1" x14ac:dyDescent="0.35">
      <c r="A85" s="135"/>
      <c r="B85" s="135"/>
      <c r="C85" s="53" t="s">
        <v>80</v>
      </c>
      <c r="D85" s="62">
        <v>5.0347665799999997E-2</v>
      </c>
      <c r="E85" s="62">
        <v>6.4364426000000002E-2</v>
      </c>
      <c r="F85" s="62">
        <v>0.11478306670000001</v>
      </c>
    </row>
    <row r="86" spans="1:6" ht="15" customHeight="1" x14ac:dyDescent="0.35">
      <c r="A86" s="135"/>
      <c r="B86" s="135"/>
      <c r="C86" s="53" t="s">
        <v>82</v>
      </c>
      <c r="D86" s="62">
        <v>1.19342737</v>
      </c>
      <c r="E86" s="62">
        <v>1.5240697437999999</v>
      </c>
      <c r="F86" s="62">
        <v>2.7174971138999999</v>
      </c>
    </row>
    <row r="87" spans="1:6" ht="15" customHeight="1" x14ac:dyDescent="0.35">
      <c r="A87" s="135"/>
      <c r="B87" s="135">
        <v>3</v>
      </c>
      <c r="C87" s="53" t="s">
        <v>76</v>
      </c>
      <c r="D87" s="62">
        <v>0.15435573089999999</v>
      </c>
      <c r="E87" s="62">
        <v>0.20227692820000001</v>
      </c>
      <c r="F87" s="62">
        <v>0.3566147133</v>
      </c>
    </row>
    <row r="88" spans="1:6" ht="15" customHeight="1" x14ac:dyDescent="0.35">
      <c r="A88" s="135"/>
      <c r="B88" s="135"/>
      <c r="C88" s="53" t="s">
        <v>101</v>
      </c>
      <c r="D88" s="62">
        <v>7.5965808300000007E-2</v>
      </c>
      <c r="E88" s="62">
        <v>0.1045657977</v>
      </c>
      <c r="F88" s="62">
        <v>0.18054771050000001</v>
      </c>
    </row>
    <row r="89" spans="1:6" ht="15" customHeight="1" x14ac:dyDescent="0.35">
      <c r="A89" s="135"/>
      <c r="B89" s="135"/>
      <c r="C89" s="53" t="s">
        <v>77</v>
      </c>
      <c r="D89" s="62">
        <v>0.227526794</v>
      </c>
      <c r="E89" s="62">
        <v>0.29327486790000001</v>
      </c>
      <c r="F89" s="62">
        <v>0.52076664669999995</v>
      </c>
    </row>
    <row r="90" spans="1:6" ht="15" customHeight="1" x14ac:dyDescent="0.35">
      <c r="A90" s="135"/>
      <c r="B90" s="135"/>
      <c r="C90" s="53" t="s">
        <v>78</v>
      </c>
      <c r="D90" s="62">
        <v>0.50477667869999998</v>
      </c>
      <c r="E90" s="62">
        <v>0.64927689489999996</v>
      </c>
      <c r="F90" s="62">
        <v>1.1539854039999999</v>
      </c>
    </row>
    <row r="91" spans="1:6" ht="15" customHeight="1" x14ac:dyDescent="0.35">
      <c r="A91" s="135"/>
      <c r="B91" s="135"/>
      <c r="C91" s="53" t="s">
        <v>79</v>
      </c>
      <c r="D91" s="62">
        <v>0.30214048799999998</v>
      </c>
      <c r="E91" s="62">
        <v>0.38709918510000002</v>
      </c>
      <c r="F91" s="62">
        <v>0.68923914090000005</v>
      </c>
    </row>
    <row r="92" spans="1:6" ht="15" customHeight="1" x14ac:dyDescent="0.35">
      <c r="A92" s="135"/>
      <c r="B92" s="135"/>
      <c r="C92" s="53" t="s">
        <v>80</v>
      </c>
      <c r="D92" s="62">
        <v>6.1969921400000003E-2</v>
      </c>
      <c r="E92" s="62">
        <v>7.7672379E-2</v>
      </c>
      <c r="F92" s="62">
        <v>0.13964052120000001</v>
      </c>
    </row>
    <row r="93" spans="1:6" ht="15" customHeight="1" x14ac:dyDescent="0.35">
      <c r="A93" s="135"/>
      <c r="B93" s="135"/>
      <c r="C93" s="53" t="s">
        <v>82</v>
      </c>
      <c r="D93" s="62">
        <v>1.0966782262000001</v>
      </c>
      <c r="E93" s="62">
        <v>1.4139061928000001</v>
      </c>
      <c r="F93" s="62">
        <v>2.5105844190000002</v>
      </c>
    </row>
    <row r="94" spans="1:6" ht="15" customHeight="1" x14ac:dyDescent="0.35">
      <c r="A94" s="135"/>
      <c r="B94" s="135">
        <v>4</v>
      </c>
      <c r="C94" s="53" t="s">
        <v>76</v>
      </c>
      <c r="D94" s="62">
        <v>0.16479228970000001</v>
      </c>
      <c r="E94" s="62">
        <v>0.23840842370000001</v>
      </c>
      <c r="F94" s="62">
        <v>0.40315731960000001</v>
      </c>
    </row>
    <row r="95" spans="1:6" ht="15" customHeight="1" x14ac:dyDescent="0.35">
      <c r="A95" s="135"/>
      <c r="B95" s="135"/>
      <c r="C95" s="53" t="s">
        <v>101</v>
      </c>
      <c r="D95" s="62">
        <v>8.6416333200000001E-2</v>
      </c>
      <c r="E95" s="62">
        <v>0.1275904944</v>
      </c>
      <c r="F95" s="62">
        <v>0.21396345</v>
      </c>
    </row>
    <row r="96" spans="1:6" ht="15" customHeight="1" x14ac:dyDescent="0.35">
      <c r="A96" s="135"/>
      <c r="B96" s="135"/>
      <c r="C96" s="53" t="s">
        <v>77</v>
      </c>
      <c r="D96" s="62">
        <v>0.1976502409</v>
      </c>
      <c r="E96" s="62">
        <v>0.27258663459999999</v>
      </c>
      <c r="F96" s="62">
        <v>0.4703923599</v>
      </c>
    </row>
    <row r="97" spans="1:6" ht="15" customHeight="1" x14ac:dyDescent="0.35">
      <c r="A97" s="135"/>
      <c r="B97" s="135"/>
      <c r="C97" s="53" t="s">
        <v>78</v>
      </c>
      <c r="D97" s="62">
        <v>0.4942802617</v>
      </c>
      <c r="E97" s="62">
        <v>0.66746013579999997</v>
      </c>
      <c r="F97" s="62">
        <v>1.1618797316</v>
      </c>
    </row>
    <row r="98" spans="1:6" ht="15" customHeight="1" x14ac:dyDescent="0.35">
      <c r="A98" s="135"/>
      <c r="B98" s="135"/>
      <c r="C98" s="53" t="s">
        <v>79</v>
      </c>
      <c r="D98" s="62">
        <v>0.29386148090000003</v>
      </c>
      <c r="E98" s="62">
        <v>0.39931663589999999</v>
      </c>
      <c r="F98" s="62">
        <v>0.69328143890000005</v>
      </c>
    </row>
    <row r="99" spans="1:6" ht="15" customHeight="1" x14ac:dyDescent="0.35">
      <c r="A99" s="135"/>
      <c r="B99" s="135"/>
      <c r="C99" s="53" t="s">
        <v>80</v>
      </c>
      <c r="D99" s="62">
        <v>5.82117459E-2</v>
      </c>
      <c r="E99" s="62">
        <v>8.0037870400000002E-2</v>
      </c>
      <c r="F99" s="62">
        <v>0.13818532989999999</v>
      </c>
    </row>
    <row r="100" spans="1:6" ht="15" customHeight="1" x14ac:dyDescent="0.35">
      <c r="A100" s="135"/>
      <c r="B100" s="135"/>
      <c r="C100" s="53" t="s">
        <v>82</v>
      </c>
      <c r="D100" s="62">
        <v>1.0701978068</v>
      </c>
      <c r="E100" s="62">
        <v>1.4690804874000001</v>
      </c>
      <c r="F100" s="62">
        <v>2.5392782941999998</v>
      </c>
    </row>
    <row r="101" spans="1:6" ht="15" customHeight="1" x14ac:dyDescent="0.35">
      <c r="A101" s="135"/>
      <c r="B101" s="135" t="s">
        <v>158</v>
      </c>
      <c r="C101" s="53" t="s">
        <v>76</v>
      </c>
      <c r="D101" s="62">
        <v>0.1206109497</v>
      </c>
      <c r="E101" s="62">
        <v>0.1636793808</v>
      </c>
      <c r="F101" s="62">
        <v>0.28420788889999998</v>
      </c>
    </row>
    <row r="102" spans="1:6" ht="15" customHeight="1" x14ac:dyDescent="0.35">
      <c r="A102" s="135"/>
      <c r="B102" s="135"/>
      <c r="C102" s="53" t="s">
        <v>101</v>
      </c>
      <c r="D102" s="62">
        <v>7.3208714800000005E-2</v>
      </c>
      <c r="E102" s="62">
        <v>0.1023976273</v>
      </c>
      <c r="F102" s="62">
        <v>0.17562933559999999</v>
      </c>
    </row>
    <row r="103" spans="1:6" ht="15" customHeight="1" x14ac:dyDescent="0.35">
      <c r="A103" s="135"/>
      <c r="B103" s="135"/>
      <c r="C103" s="53" t="s">
        <v>77</v>
      </c>
      <c r="D103" s="62">
        <v>0.16547590600000001</v>
      </c>
      <c r="E103" s="62">
        <v>0.2151135807</v>
      </c>
      <c r="F103" s="62">
        <v>0.38065661979999998</v>
      </c>
    </row>
    <row r="104" spans="1:6" ht="15" customHeight="1" x14ac:dyDescent="0.35">
      <c r="A104" s="135"/>
      <c r="B104" s="135"/>
      <c r="C104" s="53" t="s">
        <v>78</v>
      </c>
      <c r="D104" s="62">
        <v>0.4578128186</v>
      </c>
      <c r="E104" s="62">
        <v>0.56837897309999996</v>
      </c>
      <c r="F104" s="62">
        <v>1.0262658826</v>
      </c>
    </row>
    <row r="105" spans="1:6" ht="15" customHeight="1" x14ac:dyDescent="0.35">
      <c r="A105" s="135"/>
      <c r="B105" s="135"/>
      <c r="C105" s="53" t="s">
        <v>79</v>
      </c>
      <c r="D105" s="62">
        <v>0.29259365510000002</v>
      </c>
      <c r="E105" s="62">
        <v>0.370373905</v>
      </c>
      <c r="F105" s="62">
        <v>0.66307539559999995</v>
      </c>
    </row>
    <row r="106" spans="1:6" ht="15" customHeight="1" x14ac:dyDescent="0.35">
      <c r="A106" s="135"/>
      <c r="B106" s="135"/>
      <c r="C106" s="53" t="s">
        <v>80</v>
      </c>
      <c r="D106" s="62">
        <v>3.71757552E-2</v>
      </c>
      <c r="E106" s="62">
        <v>4.8654134600000003E-2</v>
      </c>
      <c r="F106" s="62">
        <v>8.58078855E-2</v>
      </c>
    </row>
    <row r="107" spans="1:6" ht="15" customHeight="1" x14ac:dyDescent="0.35">
      <c r="A107" s="136"/>
      <c r="B107" s="136"/>
      <c r="C107" s="54" t="s">
        <v>82</v>
      </c>
      <c r="D107" s="64">
        <v>0.97197871599999996</v>
      </c>
      <c r="E107" s="64">
        <v>1.2398612974000001</v>
      </c>
      <c r="F107" s="64">
        <v>2.2118400133999998</v>
      </c>
    </row>
    <row r="108" spans="1:6" x14ac:dyDescent="0.35">
      <c r="A108" s="7" t="s">
        <v>123</v>
      </c>
      <c r="B108" s="66"/>
    </row>
    <row r="109" spans="1:6" x14ac:dyDescent="0.35">
      <c r="A109" s="114"/>
    </row>
    <row r="110" spans="1:6" x14ac:dyDescent="0.35">
      <c r="A110" s="114" t="s">
        <v>149</v>
      </c>
    </row>
  </sheetData>
  <mergeCells count="18">
    <mergeCell ref="A3:A37"/>
    <mergeCell ref="B3:B9"/>
    <mergeCell ref="B10:B16"/>
    <mergeCell ref="B24:B30"/>
    <mergeCell ref="B31:B37"/>
    <mergeCell ref="B17:B23"/>
    <mergeCell ref="B52:B58"/>
    <mergeCell ref="B80:B86"/>
    <mergeCell ref="A38:A72"/>
    <mergeCell ref="B38:B44"/>
    <mergeCell ref="B45:B51"/>
    <mergeCell ref="B59:B65"/>
    <mergeCell ref="B66:B72"/>
    <mergeCell ref="A73:A107"/>
    <mergeCell ref="B73:B79"/>
    <mergeCell ref="B87:B93"/>
    <mergeCell ref="B94:B100"/>
    <mergeCell ref="B101:B107"/>
  </mergeCells>
  <hyperlinks>
    <hyperlink ref="A110" location="Contents!A1" display="Back to contents page" xr:uid="{DB915088-122F-4B20-9533-B99EF314510A}"/>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6CBCD5A370A1DB47BF624D28629D6BEE" ma:contentTypeVersion="1" ma:contentTypeDescription="AIHW Project Document" ma:contentTypeScope="" ma:versionID="3063d816580368ebd2d901324795a608">
  <xsd:schema xmlns:xsd="http://www.w3.org/2001/XMLSchema" xmlns:xs="http://www.w3.org/2001/XMLSchema" xmlns:p="http://schemas.microsoft.com/office/2006/metadata/properties" xmlns:ns2="acfdfa7e-238e-49af-913a-b8791cd4736d" targetNamespace="http://schemas.microsoft.com/office/2006/metadata/properties" ma:root="true" ma:fieldsID="40cce4b24ccf6edd0b6ee5c7c49e0305" ns2:_="">
    <xsd:import namespace="acfdfa7e-238e-49af-913a-b8791cd4736d"/>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fdfa7e-238e-49af-913a-b8791cd4736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03ce94-ec67-4e6b-bd2a-a939ad580cf9}" ma:internalName="AIHW_PPR_ProjectCategoryLookup" ma:showField="Title" ma:web="{acfdfa7e-238e-49af-913a-b8791cd473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acfdfa7e-238e-49af-913a-b8791cd4736d">
      <Value>1</Value>
    </AIHW_PPR_ProjectCategoryLookup>
  </documentManagement>
</p:properties>
</file>

<file path=customXml/itemProps1.xml><?xml version="1.0" encoding="utf-8"?>
<ds:datastoreItem xmlns:ds="http://schemas.openxmlformats.org/officeDocument/2006/customXml" ds:itemID="{48CC68F0-A500-4484-AF4E-0A30A69497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fdfa7e-238e-49af-913a-b8791cd473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2C995F-C8B1-4F60-B561-3328621C0A7A}">
  <ds:schemaRefs>
    <ds:schemaRef ds:uri="http://schemas.microsoft.com/sharepoint/v3/contenttype/forms"/>
  </ds:schemaRefs>
</ds:datastoreItem>
</file>

<file path=customXml/itemProps3.xml><?xml version="1.0" encoding="utf-8"?>
<ds:datastoreItem xmlns:ds="http://schemas.openxmlformats.org/officeDocument/2006/customXml" ds:itemID="{C19FA004-A684-44AA-8278-C8A42B1C1064}">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acfdfa7e-238e-49af-913a-b8791cd4736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S4.1</vt:lpstr>
      <vt:lpstr>S4.2</vt:lpstr>
      <vt:lpstr>S4.3</vt:lpstr>
      <vt:lpstr>S4.4</vt:lpstr>
      <vt:lpstr>S4.5</vt:lpstr>
      <vt:lpstr>S4.6</vt:lpstr>
      <vt:lpstr>S4.7</vt:lpstr>
      <vt:lpstr>S4.8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Dementia in Australia, Burden of Disease – data tables</dc:title>
  <dc:creator/>
  <cp:lastModifiedBy/>
  <dcterms:created xsi:type="dcterms:W3CDTF">2025-08-26T05:42:09Z</dcterms:created>
  <dcterms:modified xsi:type="dcterms:W3CDTF">2025-11-20T06:29:06Z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0x010100B4A1F787F0C441AC878A307E051D262E006CBCD5A370A1DB47BF624D28629D6BEE</vt:lpwstr>
  </property>
</Properties>
</file>