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filterPrivacy="1"/>
  <xr:revisionPtr revIDLastSave="0" documentId="13_ncr:1_{7D5CF08A-B1E7-6748-9373-6FAFD694E5E3}" xr6:coauthVersionLast="47" xr6:coauthVersionMax="47" xr10:uidLastSave="{00000000-0000-0000-0000-000000000000}"/>
  <bookViews>
    <workbookView xWindow="0" yWindow="600" windowWidth="27040" windowHeight="16960" activeTab="2" xr2:uid="{00000000-000D-0000-FFFF-FFFF00000000}"/>
  </bookViews>
  <sheets>
    <sheet name="Contents" sheetId="2" r:id="rId1"/>
    <sheet name="S2.1" sheetId="28" r:id="rId2"/>
    <sheet name="S2.2" sheetId="29" r:id="rId3"/>
    <sheet name="S2.3" sheetId="30" r:id="rId4"/>
    <sheet name="S2.4" sheetId="31" r:id="rId5"/>
    <sheet name="S2.5" sheetId="32" r:id="rId6"/>
    <sheet name="S2.6" sheetId="3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B14" i="2"/>
  <c r="B13" i="2"/>
  <c r="B12" i="2"/>
  <c r="B10" i="2"/>
  <c r="B9" i="2"/>
</calcChain>
</file>

<file path=xl/sharedStrings.xml><?xml version="1.0" encoding="utf-8"?>
<sst xmlns="http://schemas.openxmlformats.org/spreadsheetml/2006/main" count="153" uniqueCount="88">
  <si>
    <t>Contents:</t>
  </si>
  <si>
    <t>ACT</t>
  </si>
  <si>
    <t>NSW</t>
  </si>
  <si>
    <t>NT</t>
  </si>
  <si>
    <t>SA</t>
  </si>
  <si>
    <t>WA</t>
  </si>
  <si>
    <t>Sex</t>
  </si>
  <si>
    <t>Persons</t>
  </si>
  <si>
    <t>State or territory</t>
  </si>
  <si>
    <t>Remoteness area</t>
  </si>
  <si>
    <t>Notes</t>
  </si>
  <si>
    <t>Symbols</t>
  </si>
  <si>
    <t>n.p.</t>
  </si>
  <si>
    <t>Not published</t>
  </si>
  <si>
    <t>Suggested Citation</t>
  </si>
  <si>
    <t>Refer to each data table for information on data sources.</t>
  </si>
  <si>
    <t xml:space="preserve">Refer to Technical notes for information on the data sources and the methodology AIHW used to estimate the number of Australians with dementia. </t>
  </si>
  <si>
    <t>Geography category</t>
  </si>
  <si>
    <t>Geography</t>
  </si>
  <si>
    <t>Socioeconomic area</t>
  </si>
  <si>
    <t>Men</t>
  </si>
  <si>
    <t>Women</t>
  </si>
  <si>
    <t xml:space="preserve">The estimated number of people with dementia in Tables S2.1–S2.2, S2.4–S2.6 and 2.8–2.9 are based on AIHW estimates. </t>
  </si>
  <si>
    <t>Vic</t>
  </si>
  <si>
    <t>Qld</t>
  </si>
  <si>
    <t>Tas</t>
  </si>
  <si>
    <t>2. 'Total' prevalence rates were calculated for all ages, not just those aged 30 years or over.</t>
  </si>
  <si>
    <t>Total</t>
  </si>
  <si>
    <t>90+</t>
  </si>
  <si>
    <t>85–89</t>
  </si>
  <si>
    <t>80–84</t>
  </si>
  <si>
    <t>75–79</t>
  </si>
  <si>
    <t>70–74</t>
  </si>
  <si>
    <t>65–69</t>
  </si>
  <si>
    <t>60–64</t>
  </si>
  <si>
    <t>30–59</t>
  </si>
  <si>
    <t>Number per 1,000 people</t>
  </si>
  <si>
    <t>Number</t>
  </si>
  <si>
    <t>Estimated people with dementia</t>
  </si>
  <si>
    <t>Age group (years)</t>
  </si>
  <si>
    <t>Number of people with dementia</t>
  </si>
  <si>
    <t>Living in the community</t>
  </si>
  <si>
    <t>Living in cared accommodation</t>
  </si>
  <si>
    <t>30–64</t>
  </si>
  <si>
    <t>Living arrangements</t>
  </si>
  <si>
    <t>Confidence interval (%)</t>
  </si>
  <si>
    <t>Lower</t>
  </si>
  <si>
    <t>Upper</t>
  </si>
  <si>
    <t>Living alone</t>
  </si>
  <si>
    <t>Living with others</t>
  </si>
  <si>
    <t>Year</t>
  </si>
  <si>
    <t>Age (years)</t>
  </si>
  <si>
    <t xml:space="preserve"> 30–64</t>
  </si>
  <si>
    <t>65–84</t>
  </si>
  <si>
    <t>85+</t>
  </si>
  <si>
    <t>Note: Values presented in this table may differ to other prevalence estimates due to differences in source population data.</t>
  </si>
  <si>
    <t xml:space="preserve">Note: Values presented in this table may differ to other prevalence estimates due to differences in source population data. </t>
  </si>
  <si>
    <t xml:space="preserve">Table S2.1: Prevalence of dementia in 2024: estimated number and rate, by age and sex </t>
  </si>
  <si>
    <t>1. Due to the lack of data on the variability of dementia prevalence rates by geographic and socioeconomic areas, dementia prevalence estimates were calculated by applying the AIHW national age- and sex-specific dementia prevalence rates to the population of each geographic or socioeconomic area.</t>
  </si>
  <si>
    <t>2. Estimates for State or Territory were calculated using 5-year age groups up to 90+; estimates for Remoteness area and Socioeconomic area where calculated using 5-year age groups up to 85+.</t>
  </si>
  <si>
    <t>3. Remoteness areas are classified according to the 2021 Australian Statistical Geography Standard (ASGS) Remoteness Areas.</t>
  </si>
  <si>
    <t>4. Socioeconomic area is classified according to the SEIFA quintile using the Index of Relative Socioeconomic Disadvantage (IRSD). Disaggregation by SEIFA quintile are based on area of usual residence (Statistical Area Level 2 (SA2)), based on 2021 classifications.</t>
  </si>
  <si>
    <t xml:space="preserve">Table S2.4: Australians living with dementia between 2010 and 2065: estimated number by sex and year </t>
  </si>
  <si>
    <t xml:space="preserve">Table S2.5: Australians living with dementia between 2010 and 2065: estimated number by age and year </t>
  </si>
  <si>
    <t>Australian Institute of Health and Welfare 2025. Dementia in Australia Cat no. DEM 2 Canberra: AIHW.</t>
  </si>
  <si>
    <t>© Australian Institute of Health and Welfare 2025</t>
  </si>
  <si>
    <t>Source: AIHW estimates were derived using prevalence rates from the 2015 World Alzheimer report and Withall et al. (2014) applied to the ABS Medium series population projections (ABS 2023).</t>
  </si>
  <si>
    <t>Source: AIHW analysis of ABS Survey of Disability, Ageing and Carers 2022 unit record data.</t>
  </si>
  <si>
    <t xml:space="preserve">Note: Estimates for Australians with dementia in the community who live alone has a relative standard error between 25% and 50% and should be used with caution. </t>
  </si>
  <si>
    <t>Per cent  (%)</t>
  </si>
  <si>
    <t>Per cent living in accommodation type (%)</t>
  </si>
  <si>
    <t>Dementia in Australia, Dementia prevalence – data tables</t>
  </si>
  <si>
    <t>1. Prevalence rates were applied to the 30 June 2024 estimated resident population (ERP)</t>
  </si>
  <si>
    <t>Back to contents page</t>
  </si>
  <si>
    <t>Source: AIHW estimates were derived using prevalence rates from the 2015 World Alzheimer report and Withall et al. 2014, and the ABS 2024 estimated resident population.</t>
  </si>
  <si>
    <t>Source: AIHW estimates were derived using prevalence rates from the 2015 World Alzheimer report and Withall et al. 2014, AIHW analysis of Aged Care Funding Instrument data and the ABS 2022 Survey of Disability, Ageing and Carers confidentialised unit record file.</t>
  </si>
  <si>
    <t>Table S2.2: Australians living with dementia in 2022: estimated number and percentage by age, sex and place of residence</t>
  </si>
  <si>
    <t>Table S2.3: Australians living with dementia in the community in 2022: estimated percentage by living arrangements</t>
  </si>
  <si>
    <t>Source: AIHW estimates were derived using prevalence rates from the 2015 World Alzheimer report and Withall et al. 2014.</t>
  </si>
  <si>
    <t>Table S2.6: Australians living with dementia in 2023: estimated number by sex, and geographic or socioeconomic area of usual residence</t>
  </si>
  <si>
    <t>Major cities</t>
  </si>
  <si>
    <t>Very remote</t>
  </si>
  <si>
    <t>Remote</t>
  </si>
  <si>
    <t>Outer regional</t>
  </si>
  <si>
    <t>Inner regional</t>
  </si>
  <si>
    <t>1 - Lowest</t>
  </si>
  <si>
    <t>5 - Highest</t>
  </si>
  <si>
    <t>Note: Cared accommodation includes people in hospitals, residential aged care homes, aged care hostels, cared components of retirement villages and other 'homes' such as group homes for people with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</si>
</sst>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0.0"/>
    <numFmt numFmtId="167" formatCode="_-* #,##0.0_-;\-* #,##0.0_-;_-* &quot;-&quot;??_-;_-@_-"/>
    <numFmt numFmtId="168" formatCode="##,###,##0"/>
    <numFmt numFmtId="169" formatCode="###,##0.0"/>
  </numFmts>
  <fonts count="29" x14ac:knownFonts="1">
    <font>
      <sz val="11"/>
      <color theme="1"/>
      <name val="Calibri"/>
      <family val="2"/>
      <scheme val="minor"/>
    </font>
    <font>
      <b/>
      <sz val="16"/>
      <color theme="1"/>
      <name val="Calibri"/>
      <family val="2"/>
    </font>
    <font>
      <b/>
      <sz val="12"/>
      <color theme="1"/>
      <name val="Calibri"/>
      <family val="2"/>
    </font>
    <font>
      <sz val="12"/>
      <color theme="1"/>
      <name val="Calibri"/>
      <family val="2"/>
    </font>
    <font>
      <b/>
      <sz val="12"/>
      <color theme="1"/>
      <name val="Calibri"/>
      <family val="2"/>
      <scheme val="minor"/>
    </font>
    <font>
      <u/>
      <sz val="11"/>
      <color theme="10"/>
      <name val="Calibri"/>
      <family val="2"/>
      <scheme val="minor"/>
    </font>
    <font>
      <b/>
      <sz val="10"/>
      <color theme="1"/>
      <name val="Book Antiqua"/>
      <family val="1"/>
    </font>
    <font>
      <sz val="12"/>
      <color theme="1"/>
      <name val="Calibri"/>
      <family val="2"/>
      <scheme val="minor"/>
    </font>
    <font>
      <sz val="12"/>
      <name val="Calibri"/>
      <family val="2"/>
      <scheme val="minor"/>
    </font>
    <font>
      <i/>
      <sz val="11"/>
      <color theme="1"/>
      <name val="Calibri"/>
      <family val="2"/>
      <scheme val="minor"/>
    </font>
    <font>
      <sz val="11"/>
      <color theme="1"/>
      <name val="Calibri"/>
      <family val="2"/>
      <scheme val="minor"/>
    </font>
    <font>
      <sz val="11"/>
      <color theme="1"/>
      <name val="Arial"/>
      <family val="2"/>
    </font>
    <font>
      <sz val="10"/>
      <color theme="1"/>
      <name val="Arial"/>
      <family val="2"/>
    </font>
    <font>
      <u/>
      <sz val="9"/>
      <color indexed="12"/>
      <name val="Arial"/>
      <family val="2"/>
    </font>
    <font>
      <sz val="9"/>
      <color theme="1"/>
      <name val="Calibri"/>
      <family val="2"/>
      <scheme val="minor"/>
    </font>
    <font>
      <sz val="9"/>
      <name val="Calibri"/>
      <family val="2"/>
      <scheme val="minor"/>
    </font>
    <font>
      <sz val="10"/>
      <color theme="1"/>
      <name val="Calibri"/>
      <family val="2"/>
      <scheme val="minor"/>
    </font>
    <font>
      <sz val="9"/>
      <color theme="1"/>
      <name val="Arial"/>
      <family val="2"/>
    </font>
    <font>
      <sz val="9"/>
      <name val="Arial"/>
      <family val="2"/>
    </font>
    <font>
      <sz val="11"/>
      <color indexed="8"/>
      <name val="Arial"/>
      <family val="2"/>
    </font>
    <font>
      <u/>
      <sz val="8"/>
      <color indexed="12"/>
      <name val="Arial"/>
      <family val="2"/>
    </font>
    <font>
      <u/>
      <sz val="11"/>
      <color theme="10"/>
      <name val="Arial"/>
      <family val="2"/>
    </font>
    <font>
      <b/>
      <sz val="11"/>
      <color theme="1"/>
      <name val="Calibri"/>
      <family val="2"/>
      <scheme val="minor"/>
    </font>
    <font>
      <sz val="11"/>
      <name val="Calibri"/>
      <family val="2"/>
      <scheme val="minor"/>
    </font>
    <font>
      <sz val="11"/>
      <color theme="1"/>
      <name val="Calibri"/>
      <family val="2"/>
    </font>
    <font>
      <sz val="11"/>
      <name val="Calibri"/>
      <family val="2"/>
    </font>
    <font>
      <b/>
      <sz val="11"/>
      <name val="Calibri"/>
      <family val="2"/>
      <scheme val="minor"/>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C1C1C1"/>
      </left>
      <right style="thin">
        <color rgb="FFC1C1C1"/>
      </right>
      <top style="thin">
        <color rgb="FFC1C1C1"/>
      </top>
      <bottom style="thin">
        <color rgb="FFC1C1C1"/>
      </bottom>
      <diagonal/>
    </border>
  </borders>
  <cellStyleXfs count="6">
    <xf numFmtId="0" fontId="0" fillId="0" borderId="0"/>
    <xf numFmtId="0" fontId="5" fillId="0" borderId="0" applyNumberFormat="0" applyFill="0" applyBorder="0" applyAlignment="0" applyProtection="0"/>
    <xf numFmtId="49" fontId="6" fillId="2" borderId="0" applyNumberFormat="0" applyFill="0" applyBorder="0" applyAlignment="0" applyProtection="0">
      <alignment horizontal="right"/>
    </xf>
    <xf numFmtId="164" fontId="10" fillId="0" borderId="0" applyFont="0" applyFill="0" applyBorder="0" applyAlignment="0" applyProtection="0"/>
    <xf numFmtId="0" fontId="13" fillId="0" borderId="0" applyNumberFormat="0" applyFill="0" applyBorder="0" applyAlignment="0" applyProtection="0">
      <alignment vertical="top"/>
      <protection locked="0"/>
    </xf>
    <xf numFmtId="0" fontId="10" fillId="0" borderId="0"/>
  </cellStyleXfs>
  <cellXfs count="92">
    <xf numFmtId="0" fontId="0" fillId="0" borderId="0" xfId="0"/>
    <xf numFmtId="0" fontId="4" fillId="0" borderId="0" xfId="0" applyFont="1"/>
    <xf numFmtId="165" fontId="0" fillId="0" borderId="0" xfId="3" applyNumberFormat="1" applyFont="1" applyBorder="1"/>
    <xf numFmtId="165" fontId="0" fillId="0" borderId="1" xfId="3" applyNumberFormat="1" applyFont="1" applyBorder="1"/>
    <xf numFmtId="0" fontId="1" fillId="3"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1" applyFill="1" applyBorder="1"/>
    <xf numFmtId="0" fontId="3" fillId="3" borderId="0" xfId="0" applyFont="1" applyFill="1" applyAlignment="1">
      <alignment wrapText="1"/>
    </xf>
    <xf numFmtId="0" fontId="11" fillId="3" borderId="0" xfId="0" applyFont="1" applyFill="1"/>
    <xf numFmtId="0" fontId="12" fillId="3" borderId="0" xfId="0" applyFont="1" applyFill="1"/>
    <xf numFmtId="0" fontId="13" fillId="3" borderId="0" xfId="4" applyFill="1" applyBorder="1" applyAlignment="1" applyProtection="1">
      <alignment horizontal="center" vertical="center"/>
    </xf>
    <xf numFmtId="0" fontId="7" fillId="3" borderId="0" xfId="0" applyFont="1" applyFill="1"/>
    <xf numFmtId="0" fontId="8" fillId="3" borderId="0" xfId="0" applyFont="1" applyFill="1" applyAlignment="1">
      <alignment vertical="center" wrapText="1"/>
    </xf>
    <xf numFmtId="0" fontId="7" fillId="3" borderId="0" xfId="5" applyFont="1" applyFill="1"/>
    <xf numFmtId="0" fontId="0" fillId="3" borderId="0" xfId="0" applyFill="1"/>
    <xf numFmtId="0" fontId="14" fillId="3" borderId="0" xfId="0" applyFont="1" applyFill="1" applyAlignment="1">
      <alignment vertical="center"/>
    </xf>
    <xf numFmtId="0" fontId="15" fillId="3" borderId="0" xfId="0" applyFont="1" applyFill="1" applyAlignment="1">
      <alignment vertical="center" wrapText="1"/>
    </xf>
    <xf numFmtId="0" fontId="0" fillId="3" borderId="0" xfId="5" applyFont="1" applyFill="1"/>
    <xf numFmtId="0" fontId="16" fillId="3" borderId="0" xfId="0" applyFont="1" applyFill="1"/>
    <xf numFmtId="0" fontId="17" fillId="3" borderId="0" xfId="0" applyFont="1" applyFill="1"/>
    <xf numFmtId="0" fontId="18" fillId="3" borderId="0" xfId="0" applyFont="1" applyFill="1" applyAlignment="1">
      <alignment horizontal="left" vertical="top" wrapText="1" indent="1"/>
    </xf>
    <xf numFmtId="0" fontId="19" fillId="3" borderId="0" xfId="5" applyFont="1" applyFill="1"/>
    <xf numFmtId="0" fontId="20" fillId="3" borderId="0" xfId="4" applyFont="1" applyFill="1" applyAlignment="1" applyProtection="1">
      <alignment horizontal="left"/>
    </xf>
    <xf numFmtId="0" fontId="21" fillId="3" borderId="0" xfId="1" applyFont="1" applyFill="1" applyBorder="1" applyAlignment="1" applyProtection="1">
      <alignment horizontal="left"/>
    </xf>
    <xf numFmtId="0" fontId="23" fillId="3" borderId="0" xfId="0" applyFont="1" applyFill="1" applyAlignment="1">
      <alignment vertical="center"/>
    </xf>
    <xf numFmtId="0" fontId="24" fillId="3" borderId="0" xfId="0" applyFont="1" applyFill="1"/>
    <xf numFmtId="0" fontId="10" fillId="3" borderId="0" xfId="0" applyFont="1" applyFill="1" applyAlignment="1">
      <alignment vertical="center"/>
    </xf>
    <xf numFmtId="0" fontId="23" fillId="3" borderId="0" xfId="0" applyFont="1" applyFill="1" applyAlignment="1">
      <alignment vertical="center" wrapText="1"/>
    </xf>
    <xf numFmtId="0" fontId="25" fillId="3" borderId="0" xfId="0" applyFont="1" applyFill="1"/>
    <xf numFmtId="0" fontId="0" fillId="0" borderId="1" xfId="0" applyBorder="1"/>
    <xf numFmtId="3" fontId="0" fillId="0" borderId="0" xfId="0" applyNumberFormat="1"/>
    <xf numFmtId="3" fontId="0" fillId="0" borderId="1" xfId="0" applyNumberFormat="1" applyBorder="1"/>
    <xf numFmtId="0" fontId="0" fillId="0" borderId="0" xfId="0" applyAlignment="1">
      <alignment wrapText="1"/>
    </xf>
    <xf numFmtId="0" fontId="9" fillId="0" borderId="0" xfId="0" applyFont="1" applyAlignment="1">
      <alignment wrapText="1"/>
    </xf>
    <xf numFmtId="166" fontId="22" fillId="0" borderId="1" xfId="0" applyNumberFormat="1" applyFont="1" applyBorder="1"/>
    <xf numFmtId="165" fontId="27" fillId="0" borderId="1" xfId="3" applyNumberFormat="1" applyFont="1" applyFill="1" applyBorder="1" applyAlignment="1">
      <alignment horizontal="right"/>
    </xf>
    <xf numFmtId="0" fontId="26" fillId="0" borderId="1" xfId="0" applyFont="1" applyBorder="1" applyAlignment="1">
      <alignment wrapText="1"/>
    </xf>
    <xf numFmtId="166" fontId="0" fillId="0" borderId="0" xfId="0" applyNumberFormat="1"/>
    <xf numFmtId="165" fontId="28" fillId="0" borderId="0" xfId="3" applyNumberFormat="1" applyFont="1" applyFill="1" applyBorder="1" applyAlignment="1">
      <alignment horizontal="right"/>
    </xf>
    <xf numFmtId="0" fontId="23" fillId="0" borderId="0" xfId="0" applyFont="1" applyAlignment="1">
      <alignment wrapText="1"/>
    </xf>
    <xf numFmtId="166" fontId="22" fillId="0" borderId="0" xfId="0" applyNumberFormat="1" applyFont="1"/>
    <xf numFmtId="165" fontId="27" fillId="0" borderId="0" xfId="3" applyNumberFormat="1" applyFont="1" applyFill="1" applyBorder="1" applyAlignment="1">
      <alignment horizontal="right"/>
    </xf>
    <xf numFmtId="0" fontId="26" fillId="0" borderId="0" xfId="0" applyFont="1" applyAlignment="1">
      <alignment wrapText="1"/>
    </xf>
    <xf numFmtId="165" fontId="28" fillId="0" borderId="0" xfId="3" applyNumberFormat="1" applyFont="1" applyBorder="1" applyAlignment="1">
      <alignment horizontal="right"/>
    </xf>
    <xf numFmtId="166" fontId="0" fillId="0" borderId="0" xfId="0" applyNumberFormat="1" applyAlignment="1">
      <alignment horizontal="right"/>
    </xf>
    <xf numFmtId="165" fontId="0" fillId="0" borderId="0" xfId="3" applyNumberFormat="1" applyFont="1" applyBorder="1" applyAlignment="1">
      <alignment horizontal="right"/>
    </xf>
    <xf numFmtId="0" fontId="26" fillId="0" borderId="2" xfId="0" applyFont="1" applyBorder="1" applyAlignment="1">
      <alignment horizontal="right" wrapText="1"/>
    </xf>
    <xf numFmtId="0" fontId="4" fillId="0" borderId="0" xfId="0" applyFont="1" applyAlignment="1">
      <alignment wrapText="1"/>
    </xf>
    <xf numFmtId="0" fontId="11" fillId="0" borderId="0" xfId="0" applyFont="1"/>
    <xf numFmtId="0" fontId="4" fillId="0" borderId="0" xfId="0" applyFont="1" applyAlignment="1">
      <alignment horizontal="left"/>
    </xf>
    <xf numFmtId="0" fontId="22" fillId="0" borderId="1" xfId="0" applyFont="1" applyBorder="1" applyAlignment="1">
      <alignment horizontal="right"/>
    </xf>
    <xf numFmtId="167" fontId="0" fillId="0" borderId="0" xfId="3" applyNumberFormat="1" applyFont="1"/>
    <xf numFmtId="167" fontId="0" fillId="0" borderId="0" xfId="3" applyNumberFormat="1" applyFont="1" applyBorder="1"/>
    <xf numFmtId="167" fontId="0" fillId="0" borderId="1" xfId="3" applyNumberFormat="1" applyFont="1" applyBorder="1"/>
    <xf numFmtId="0" fontId="23" fillId="0" borderId="0" xfId="0" applyFont="1" applyAlignment="1">
      <alignment horizontal="left" wrapText="1"/>
    </xf>
    <xf numFmtId="0" fontId="23" fillId="0" borderId="1" xfId="0" applyFont="1" applyBorder="1" applyAlignment="1">
      <alignment horizontal="left" wrapText="1"/>
    </xf>
    <xf numFmtId="0" fontId="9" fillId="0" borderId="0" xfId="0" applyFont="1" applyAlignment="1">
      <alignment horizontal="left"/>
    </xf>
    <xf numFmtId="0" fontId="0" fillId="0" borderId="0" xfId="0" applyAlignment="1">
      <alignment horizontal="left" wrapText="1"/>
    </xf>
    <xf numFmtId="165" fontId="0" fillId="0" borderId="0" xfId="0" applyNumberFormat="1"/>
    <xf numFmtId="165" fontId="0" fillId="0" borderId="1" xfId="0" applyNumberFormat="1" applyBorder="1"/>
    <xf numFmtId="0" fontId="23" fillId="0" borderId="1" xfId="0" applyFont="1" applyBorder="1" applyAlignment="1">
      <alignment wrapText="1"/>
    </xf>
    <xf numFmtId="168" fontId="0" fillId="4" borderId="4" xfId="0" applyNumberFormat="1" applyFill="1" applyBorder="1"/>
    <xf numFmtId="168" fontId="0" fillId="4" borderId="4" xfId="0" applyNumberFormat="1" applyFill="1" applyBorder="1" applyAlignment="1">
      <alignment horizontal="right"/>
    </xf>
    <xf numFmtId="169" fontId="0" fillId="4" borderId="4" xfId="0" applyNumberFormat="1" applyFill="1" applyBorder="1"/>
    <xf numFmtId="169" fontId="0" fillId="4" borderId="4" xfId="0" applyNumberFormat="1" applyFill="1" applyBorder="1" applyAlignment="1">
      <alignment horizontal="right"/>
    </xf>
    <xf numFmtId="0" fontId="23" fillId="0" borderId="0" xfId="0" applyFont="1" applyAlignment="1">
      <alignment horizontal="left"/>
    </xf>
    <xf numFmtId="0" fontId="23" fillId="0" borderId="0" xfId="0" applyFont="1" applyAlignment="1">
      <alignment horizontal="left" vertical="center" wrapText="1"/>
    </xf>
    <xf numFmtId="0" fontId="0" fillId="0" borderId="3" xfId="0" applyBorder="1"/>
    <xf numFmtId="168" fontId="22" fillId="4" borderId="4" xfId="0" applyNumberFormat="1" applyFont="1" applyFill="1" applyBorder="1" applyAlignment="1">
      <alignment horizontal="right"/>
    </xf>
    <xf numFmtId="169" fontId="22" fillId="4" borderId="4" xfId="0" applyNumberFormat="1" applyFont="1" applyFill="1" applyBorder="1" applyAlignment="1">
      <alignment horizontal="right"/>
    </xf>
    <xf numFmtId="0" fontId="23" fillId="0" borderId="0" xfId="0" applyFont="1" applyAlignment="1">
      <alignment vertical="center"/>
    </xf>
    <xf numFmtId="0" fontId="5" fillId="0" borderId="0" xfId="1"/>
    <xf numFmtId="0" fontId="23" fillId="0" borderId="0" xfId="0" applyFont="1" applyAlignment="1">
      <alignment horizontal="left" vertical="center"/>
    </xf>
    <xf numFmtId="0" fontId="23" fillId="0" borderId="1" xfId="0" applyFont="1" applyBorder="1" applyAlignment="1">
      <alignment horizontal="left" vertical="center"/>
    </xf>
    <xf numFmtId="0" fontId="23" fillId="0" borderId="3" xfId="0" applyFont="1" applyBorder="1" applyAlignment="1">
      <alignment horizontal="left" vertical="center"/>
    </xf>
    <xf numFmtId="0" fontId="26" fillId="0" borderId="2" xfId="0" applyFont="1" applyBorder="1" applyAlignment="1">
      <alignment horizontal="center" wrapText="1"/>
    </xf>
    <xf numFmtId="0" fontId="26" fillId="0" borderId="3" xfId="0" applyFont="1" applyBorder="1" applyAlignment="1">
      <alignment horizontal="left" wrapText="1"/>
    </xf>
    <xf numFmtId="0" fontId="26" fillId="0" borderId="1" xfId="0" applyFont="1" applyBorder="1" applyAlignment="1">
      <alignment horizontal="left" wrapText="1"/>
    </xf>
    <xf numFmtId="0" fontId="26" fillId="0" borderId="3" xfId="0" applyFont="1" applyBorder="1" applyAlignment="1">
      <alignment horizontal="left"/>
    </xf>
    <xf numFmtId="0" fontId="26" fillId="0" borderId="1" xfId="0" applyFont="1" applyBorder="1" applyAlignment="1">
      <alignment horizontal="left"/>
    </xf>
    <xf numFmtId="0" fontId="22" fillId="0" borderId="2" xfId="0" applyFont="1" applyBorder="1" applyAlignment="1">
      <alignment horizontal="center"/>
    </xf>
    <xf numFmtId="0" fontId="22" fillId="0" borderId="3" xfId="0" applyFont="1" applyBorder="1" applyAlignment="1">
      <alignment horizontal="left"/>
    </xf>
    <xf numFmtId="0" fontId="22" fillId="0" borderId="1" xfId="0" applyFont="1" applyBorder="1" applyAlignment="1">
      <alignment horizontal="left"/>
    </xf>
    <xf numFmtId="0" fontId="22" fillId="0" borderId="3" xfId="0" applyFont="1" applyBorder="1" applyAlignment="1">
      <alignment horizontal="right" wrapText="1"/>
    </xf>
    <xf numFmtId="0" fontId="22" fillId="0" borderId="1" xfId="0" applyFont="1" applyBorder="1" applyAlignment="1">
      <alignment horizontal="right" wrapText="1"/>
    </xf>
    <xf numFmtId="0" fontId="23" fillId="0" borderId="0" xfId="0" applyFont="1" applyAlignment="1">
      <alignment horizontal="left" vertical="center" wrapText="1"/>
    </xf>
    <xf numFmtId="0" fontId="23" fillId="0" borderId="1" xfId="0" applyFont="1" applyBorder="1" applyAlignment="1">
      <alignment horizontal="left" vertical="center" wrapText="1"/>
    </xf>
    <xf numFmtId="0" fontId="22" fillId="0" borderId="3" xfId="0" applyFont="1" applyBorder="1"/>
    <xf numFmtId="0" fontId="22" fillId="0" borderId="1" xfId="0" applyFont="1" applyBorder="1"/>
    <xf numFmtId="0" fontId="23" fillId="0" borderId="3" xfId="0" applyFont="1" applyBorder="1" applyAlignment="1">
      <alignment horizontal="left" vertical="center" wrapText="1"/>
    </xf>
  </cellXfs>
  <cellStyles count="6">
    <cellStyle name="AIHW Caption" xfId="2" xr:uid="{00000000-0005-0000-0000-000000000000}"/>
    <cellStyle name="Comma" xfId="3" builtinId="3"/>
    <cellStyle name="Hyperlink" xfId="1" builtinId="8"/>
    <cellStyle name="Hyperlink 11" xfId="4" xr:uid="{00000000-0005-0000-0000-000003000000}"/>
    <cellStyle name="Normal" xfId="0" builtinId="0"/>
    <cellStyle name="Normal 2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2743200</xdr:colOff>
      <xdr:row>3</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1885950</xdr:colOff>
      <xdr:row>29</xdr:row>
      <xdr:rowOff>0</xdr:rowOff>
    </xdr:from>
    <xdr:to>
      <xdr:col>2</xdr:col>
      <xdr:colOff>2476500</xdr:colOff>
      <xdr:row>30</xdr:row>
      <xdr:rowOff>0</xdr:rowOff>
    </xdr:to>
    <xdr:pic>
      <xdr:nvPicPr>
        <xdr:cNvPr id="3" name="Picture 7" descr="H:\Exchange\Temp\C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5981700"/>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ihw.gov.au/copyrigh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E30"/>
  <sheetViews>
    <sheetView workbookViewId="0">
      <selection activeCell="C17" sqref="A15:C17"/>
    </sheetView>
  </sheetViews>
  <sheetFormatPr baseColWidth="10" defaultColWidth="9.1640625" defaultRowHeight="16" x14ac:dyDescent="0.2"/>
  <cols>
    <col min="1" max="1" width="2.83203125" style="6" customWidth="1"/>
    <col min="2" max="2" width="7.6640625" style="6" customWidth="1"/>
    <col min="3" max="3" width="89.6640625" style="6" customWidth="1"/>
    <col min="4" max="16384" width="9.1640625" style="6"/>
  </cols>
  <sheetData>
    <row r="6" spans="2:5" ht="32.25" customHeight="1" x14ac:dyDescent="0.25">
      <c r="B6" s="4" t="s">
        <v>71</v>
      </c>
      <c r="C6" s="5"/>
      <c r="D6" s="5"/>
      <c r="E6" s="5"/>
    </row>
    <row r="8" spans="2:5" x14ac:dyDescent="0.2">
      <c r="B8" s="7" t="s">
        <v>0</v>
      </c>
    </row>
    <row r="9" spans="2:5" x14ac:dyDescent="0.2">
      <c r="B9" s="8" t="str">
        <f>'S2.1'!A1</f>
        <v xml:space="preserve">Table S2.1: Prevalence of dementia in 2024: estimated number and rate, by age and sex </v>
      </c>
    </row>
    <row r="10" spans="2:5" x14ac:dyDescent="0.2">
      <c r="B10" s="8" t="str">
        <f>'S2.2'!A1</f>
        <v>Table S2.2: Australians living with dementia in 2022: estimated number and percentage by age, sex and place of residence</v>
      </c>
    </row>
    <row r="11" spans="2:5" x14ac:dyDescent="0.2">
      <c r="B11" s="8" t="str">
        <f>'S2.3'!A1</f>
        <v>Table S2.3: Australians living with dementia in the community in 2022: estimated percentage by living arrangements</v>
      </c>
    </row>
    <row r="12" spans="2:5" x14ac:dyDescent="0.2">
      <c r="B12" s="8" t="str">
        <f>'S2.4'!A1</f>
        <v xml:space="preserve">Table S2.4: Australians living with dementia between 2010 and 2065: estimated number by sex and year </v>
      </c>
    </row>
    <row r="13" spans="2:5" x14ac:dyDescent="0.2">
      <c r="B13" s="8" t="str">
        <f>'S2.5'!A1</f>
        <v xml:space="preserve">Table S2.5: Australians living with dementia between 2010 and 2065: estimated number by age and year </v>
      </c>
    </row>
    <row r="14" spans="2:5" x14ac:dyDescent="0.2">
      <c r="B14" s="8" t="str">
        <f>'S2.6'!A1</f>
        <v>Table S2.6: Australians living with dementia in 2023: estimated number by sex, and geographic or socioeconomic area of usual residence</v>
      </c>
    </row>
    <row r="15" spans="2:5" x14ac:dyDescent="0.2">
      <c r="B15" s="8"/>
    </row>
    <row r="16" spans="2:5" x14ac:dyDescent="0.2">
      <c r="B16" s="8"/>
    </row>
    <row r="17" spans="2:5" x14ac:dyDescent="0.2">
      <c r="B17" s="8"/>
    </row>
    <row r="19" spans="2:5" x14ac:dyDescent="0.2">
      <c r="B19" s="7" t="s">
        <v>10</v>
      </c>
    </row>
    <row r="20" spans="2:5" s="5" customFormat="1" x14ac:dyDescent="0.2">
      <c r="B20" s="26" t="s">
        <v>22</v>
      </c>
    </row>
    <row r="21" spans="2:5" s="5" customFormat="1" x14ac:dyDescent="0.2">
      <c r="B21" s="27" t="s">
        <v>15</v>
      </c>
    </row>
    <row r="22" spans="2:5" ht="16.5" customHeight="1" x14ac:dyDescent="0.2">
      <c r="B22" s="30" t="s">
        <v>16</v>
      </c>
    </row>
    <row r="23" spans="2:5" x14ac:dyDescent="0.2">
      <c r="B23" s="9"/>
    </row>
    <row r="24" spans="2:5" s="10" customFormat="1" x14ac:dyDescent="0.2">
      <c r="B24" s="7" t="s">
        <v>11</v>
      </c>
      <c r="C24" s="11"/>
      <c r="D24" s="12"/>
    </row>
    <row r="25" spans="2:5" s="13" customFormat="1" x14ac:dyDescent="0.2">
      <c r="B25" s="28" t="s">
        <v>12</v>
      </c>
      <c r="C25" s="29" t="s">
        <v>13</v>
      </c>
      <c r="D25" s="15"/>
      <c r="E25" s="15"/>
    </row>
    <row r="26" spans="2:5" s="16" customFormat="1" ht="15" x14ac:dyDescent="0.2">
      <c r="B26" s="17"/>
      <c r="C26" s="18"/>
      <c r="D26" s="19"/>
      <c r="E26" s="19"/>
    </row>
    <row r="27" spans="2:5" s="16" customFormat="1" x14ac:dyDescent="0.2">
      <c r="B27" s="7" t="s">
        <v>14</v>
      </c>
      <c r="C27" s="20"/>
      <c r="D27" s="20"/>
    </row>
    <row r="28" spans="2:5" s="13" customFormat="1" x14ac:dyDescent="0.2">
      <c r="B28" s="16" t="s">
        <v>64</v>
      </c>
      <c r="C28" s="14"/>
      <c r="D28" s="14"/>
    </row>
    <row r="29" spans="2:5" s="10" customFormat="1" ht="14" x14ac:dyDescent="0.15">
      <c r="B29" s="21"/>
      <c r="C29" s="22"/>
      <c r="D29" s="22"/>
    </row>
    <row r="30" spans="2:5" s="23" customFormat="1" ht="9" customHeight="1" x14ac:dyDescent="0.15">
      <c r="B30" s="24" t="s">
        <v>65</v>
      </c>
      <c r="C30" s="25"/>
    </row>
  </sheetData>
  <hyperlinks>
    <hyperlink ref="B9" location="S2.1!A1" display="Table S2.1: Australians estimated to be living with dementia in 2021: number and number per 1,000 people by age and sex" xr:uid="{00000000-0004-0000-0000-000000000000}"/>
    <hyperlink ref="B30" r:id="rId1" display="http://www.aihw.gov.au/copyright/" xr:uid="{00000000-0004-0000-0000-000005000000}"/>
    <hyperlink ref="B13" location="S2.5!A1" display="Table S2.5: Estimated number of people with dementia in Australia between 2010 and 2058 by age" xr:uid="{00000000-0004-0000-0000-000007000000}"/>
    <hyperlink ref="B11" location="S2.3!A1" display="Table S2.3: Living arrangements of people with dementia who are living in the community in 2018: percent living alone and living with others by sex" xr:uid="{00000000-0004-0000-0000-000006000000}"/>
    <hyperlink ref="B12" location="S2.4!A1" display="Table S2.4: Estimated number of people with dementia in Australia between 2010 and 2058 by sex" xr:uid="{00000000-0004-0000-0000-000004000000}"/>
    <hyperlink ref="B14" location="S2.6!A1" display="S2.6!A1" xr:uid="{00000000-0004-0000-0000-000002000000}"/>
    <hyperlink ref="B10" location="S2.2!A1" display="Table S2.2: Australians estimated to be living with dementia in 2021: number and percent living in the community and in cared accommodation by sex and age" xr:uid="{00000000-0004-0000-0000-000001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7A13-1F2D-47F3-8914-0AB0D5EE2A6D}">
  <dimension ref="A1:G36"/>
  <sheetViews>
    <sheetView workbookViewId="0"/>
  </sheetViews>
  <sheetFormatPr baseColWidth="10" defaultColWidth="9.1640625" defaultRowHeight="15" x14ac:dyDescent="0.2"/>
  <cols>
    <col min="1" max="1" width="11.6640625" customWidth="1"/>
    <col min="2" max="2" width="20.5" style="34" customWidth="1"/>
    <col min="3" max="3" width="19.83203125" customWidth="1"/>
    <col min="4" max="4" width="16.1640625" customWidth="1"/>
  </cols>
  <sheetData>
    <row r="1" spans="1:7" ht="16" x14ac:dyDescent="0.2">
      <c r="A1" s="1" t="s">
        <v>57</v>
      </c>
      <c r="B1" s="49"/>
    </row>
    <row r="2" spans="1:7" x14ac:dyDescent="0.2">
      <c r="A2" s="80" t="s">
        <v>6</v>
      </c>
      <c r="B2" s="78" t="s">
        <v>39</v>
      </c>
      <c r="C2" s="77" t="s">
        <v>38</v>
      </c>
      <c r="D2" s="77"/>
    </row>
    <row r="3" spans="1:7" ht="32" x14ac:dyDescent="0.2">
      <c r="A3" s="81"/>
      <c r="B3" s="79"/>
      <c r="C3" s="48" t="s">
        <v>37</v>
      </c>
      <c r="D3" s="48" t="s">
        <v>36</v>
      </c>
    </row>
    <row r="4" spans="1:7" ht="16" x14ac:dyDescent="0.2">
      <c r="A4" s="76" t="s">
        <v>20</v>
      </c>
      <c r="B4" s="41" t="s">
        <v>35</v>
      </c>
      <c r="C4" s="47">
        <v>2988</v>
      </c>
      <c r="D4" s="46">
        <v>0.56343466109999996</v>
      </c>
      <c r="G4" s="60"/>
    </row>
    <row r="5" spans="1:7" ht="16" x14ac:dyDescent="0.2">
      <c r="A5" s="74"/>
      <c r="B5" s="41" t="s">
        <v>34</v>
      </c>
      <c r="C5" s="45">
        <v>10428</v>
      </c>
      <c r="D5" s="39">
        <v>13.9625</v>
      </c>
    </row>
    <row r="6" spans="1:7" ht="16" x14ac:dyDescent="0.2">
      <c r="A6" s="74"/>
      <c r="B6" s="41" t="s">
        <v>33</v>
      </c>
      <c r="C6" s="45">
        <v>14361</v>
      </c>
      <c r="D6" s="39">
        <v>21.995475113099999</v>
      </c>
    </row>
    <row r="7" spans="1:7" ht="17.25" customHeight="1" x14ac:dyDescent="0.2">
      <c r="A7" s="74"/>
      <c r="B7" s="41" t="s">
        <v>32</v>
      </c>
      <c r="C7" s="45">
        <v>20051</v>
      </c>
      <c r="D7" s="39">
        <v>35.800387596900002</v>
      </c>
    </row>
    <row r="8" spans="1:7" ht="16" x14ac:dyDescent="0.2">
      <c r="A8" s="74"/>
      <c r="B8" s="41" t="s">
        <v>31</v>
      </c>
      <c r="C8" s="45">
        <v>28463</v>
      </c>
      <c r="D8" s="39">
        <v>61.293559240599997</v>
      </c>
    </row>
    <row r="9" spans="1:7" ht="16" x14ac:dyDescent="0.2">
      <c r="A9" s="74"/>
      <c r="B9" s="41" t="s">
        <v>30</v>
      </c>
      <c r="C9" s="45">
        <v>29539</v>
      </c>
      <c r="D9" s="39">
        <v>104.2793670116</v>
      </c>
    </row>
    <row r="10" spans="1:7" ht="16" x14ac:dyDescent="0.2">
      <c r="A10" s="74"/>
      <c r="B10" s="41" t="s">
        <v>29</v>
      </c>
      <c r="C10" s="45">
        <v>26862</v>
      </c>
      <c r="D10" s="39">
        <v>173.0569020559</v>
      </c>
    </row>
    <row r="11" spans="1:7" ht="16" x14ac:dyDescent="0.2">
      <c r="A11" s="74"/>
      <c r="B11" s="41" t="s">
        <v>28</v>
      </c>
      <c r="C11" s="40">
        <v>26460</v>
      </c>
      <c r="D11" s="39">
        <v>337.03534499419999</v>
      </c>
    </row>
    <row r="12" spans="1:7" ht="16" x14ac:dyDescent="0.2">
      <c r="A12" s="74"/>
      <c r="B12" s="44" t="s">
        <v>27</v>
      </c>
      <c r="C12" s="43">
        <v>159152</v>
      </c>
      <c r="D12" s="42">
        <v>11.783838637900001</v>
      </c>
    </row>
    <row r="13" spans="1:7" ht="16" x14ac:dyDescent="0.2">
      <c r="A13" s="74" t="s">
        <v>21</v>
      </c>
      <c r="B13" s="41" t="s">
        <v>35</v>
      </c>
      <c r="C13" s="40">
        <v>2588</v>
      </c>
      <c r="D13" s="39">
        <v>0.47719127239999998</v>
      </c>
    </row>
    <row r="14" spans="1:7" ht="16" x14ac:dyDescent="0.2">
      <c r="A14" s="74"/>
      <c r="B14" s="41" t="s">
        <v>34</v>
      </c>
      <c r="C14" s="40">
        <v>13192</v>
      </c>
      <c r="D14" s="39">
        <v>16.75</v>
      </c>
    </row>
    <row r="15" spans="1:7" ht="16" x14ac:dyDescent="0.2">
      <c r="A15" s="74"/>
      <c r="B15" s="41" t="s">
        <v>33</v>
      </c>
      <c r="C15" s="40">
        <v>19328</v>
      </c>
      <c r="D15" s="39">
        <v>27.351432880800001</v>
      </c>
    </row>
    <row r="16" spans="1:7" ht="16" x14ac:dyDescent="0.2">
      <c r="A16" s="74"/>
      <c r="B16" s="41" t="s">
        <v>32</v>
      </c>
      <c r="C16" s="40">
        <v>28032</v>
      </c>
      <c r="D16" s="39">
        <v>45.653100775200002</v>
      </c>
    </row>
    <row r="17" spans="1:4" ht="16" x14ac:dyDescent="0.2">
      <c r="A17" s="74"/>
      <c r="B17" s="41" t="s">
        <v>31</v>
      </c>
      <c r="C17" s="40">
        <v>40329</v>
      </c>
      <c r="D17" s="39">
        <v>79.265681326600003</v>
      </c>
    </row>
    <row r="18" spans="1:4" ht="16" x14ac:dyDescent="0.2">
      <c r="A18" s="74"/>
      <c r="B18" s="41" t="s">
        <v>30</v>
      </c>
      <c r="C18" s="40">
        <v>45840</v>
      </c>
      <c r="D18" s="39">
        <v>139.43051328870001</v>
      </c>
    </row>
    <row r="19" spans="1:4" ht="16" x14ac:dyDescent="0.2">
      <c r="A19" s="74"/>
      <c r="B19" s="41" t="s">
        <v>29</v>
      </c>
      <c r="C19" s="40">
        <v>49171</v>
      </c>
      <c r="D19" s="39">
        <v>236.54395351810001</v>
      </c>
    </row>
    <row r="20" spans="1:4" ht="16" x14ac:dyDescent="0.2">
      <c r="A20" s="74"/>
      <c r="B20" s="41" t="s">
        <v>28</v>
      </c>
      <c r="C20" s="40">
        <v>67045</v>
      </c>
      <c r="D20" s="39">
        <v>479.19953735019999</v>
      </c>
    </row>
    <row r="21" spans="1:4" ht="16" x14ac:dyDescent="0.2">
      <c r="A21" s="74"/>
      <c r="B21" s="44" t="s">
        <v>27</v>
      </c>
      <c r="C21" s="43">
        <v>265525</v>
      </c>
      <c r="D21" s="42">
        <v>19.3829756807</v>
      </c>
    </row>
    <row r="22" spans="1:4" ht="16" x14ac:dyDescent="0.2">
      <c r="A22" s="74" t="s">
        <v>7</v>
      </c>
      <c r="B22" s="41" t="s">
        <v>35</v>
      </c>
      <c r="C22" s="40">
        <v>5576</v>
      </c>
      <c r="D22" s="39">
        <v>0.51982843420000002</v>
      </c>
    </row>
    <row r="23" spans="1:4" ht="16" x14ac:dyDescent="0.2">
      <c r="A23" s="74"/>
      <c r="B23" s="41" t="s">
        <v>34</v>
      </c>
      <c r="C23" s="40">
        <v>23620</v>
      </c>
      <c r="D23" s="39">
        <v>15.3932797516</v>
      </c>
    </row>
    <row r="24" spans="1:4" ht="16" x14ac:dyDescent="0.2">
      <c r="A24" s="74"/>
      <c r="B24" s="41" t="s">
        <v>33</v>
      </c>
      <c r="C24" s="40">
        <v>33689</v>
      </c>
      <c r="D24" s="39">
        <v>24.779335212300001</v>
      </c>
    </row>
    <row r="25" spans="1:4" ht="16" x14ac:dyDescent="0.2">
      <c r="A25" s="74"/>
      <c r="B25" s="41" t="s">
        <v>32</v>
      </c>
      <c r="C25" s="40">
        <v>48083</v>
      </c>
      <c r="D25" s="39">
        <v>40.953004466499998</v>
      </c>
    </row>
    <row r="26" spans="1:4" ht="16" x14ac:dyDescent="0.2">
      <c r="A26" s="74"/>
      <c r="B26" s="41" t="s">
        <v>31</v>
      </c>
      <c r="C26" s="40">
        <v>68791</v>
      </c>
      <c r="D26" s="39">
        <v>70.689723786499997</v>
      </c>
    </row>
    <row r="27" spans="1:4" ht="16" x14ac:dyDescent="0.2">
      <c r="A27" s="74"/>
      <c r="B27" s="41" t="s">
        <v>30</v>
      </c>
      <c r="C27" s="40">
        <v>75379</v>
      </c>
      <c r="D27" s="39">
        <v>123.1614291075</v>
      </c>
    </row>
    <row r="28" spans="1:4" ht="16" x14ac:dyDescent="0.2">
      <c r="A28" s="74"/>
      <c r="B28" s="41" t="s">
        <v>29</v>
      </c>
      <c r="C28" s="40">
        <v>76033</v>
      </c>
      <c r="D28" s="39">
        <v>209.40373384669999</v>
      </c>
    </row>
    <row r="29" spans="1:4" ht="16" x14ac:dyDescent="0.2">
      <c r="A29" s="74"/>
      <c r="B29" s="41" t="s">
        <v>28</v>
      </c>
      <c r="C29" s="40">
        <v>93505</v>
      </c>
      <c r="D29" s="39">
        <v>428.1003819952</v>
      </c>
    </row>
    <row r="30" spans="1:4" ht="16" x14ac:dyDescent="0.2">
      <c r="A30" s="75"/>
      <c r="B30" s="38" t="s">
        <v>27</v>
      </c>
      <c r="C30" s="37">
        <v>424677</v>
      </c>
      <c r="D30" s="36">
        <v>15.6103582376</v>
      </c>
    </row>
    <row r="31" spans="1:4" x14ac:dyDescent="0.2">
      <c r="A31" t="s">
        <v>10</v>
      </c>
    </row>
    <row r="32" spans="1:4" x14ac:dyDescent="0.2">
      <c r="A32" t="s">
        <v>72</v>
      </c>
    </row>
    <row r="33" spans="1:2" x14ac:dyDescent="0.2">
      <c r="A33" t="s">
        <v>26</v>
      </c>
    </row>
    <row r="34" spans="1:2" x14ac:dyDescent="0.2">
      <c r="A34" t="s">
        <v>74</v>
      </c>
      <c r="B34" s="35"/>
    </row>
    <row r="36" spans="1:2" x14ac:dyDescent="0.2">
      <c r="A36" s="73" t="s">
        <v>73</v>
      </c>
    </row>
  </sheetData>
  <mergeCells count="6">
    <mergeCell ref="A22:A30"/>
    <mergeCell ref="A4:A12"/>
    <mergeCell ref="A13:A21"/>
    <mergeCell ref="C2:D2"/>
    <mergeCell ref="B2:B3"/>
    <mergeCell ref="A2:A3"/>
  </mergeCells>
  <hyperlinks>
    <hyperlink ref="A36" location="Contents!A1" display="Back to contents page" xr:uid="{6F20F93C-65CF-4074-9CBD-3FD8A464A15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08983-1AFA-4818-9D9E-4180436E6EB1}">
  <dimension ref="A1:J50"/>
  <sheetViews>
    <sheetView tabSelected="1" workbookViewId="0"/>
  </sheetViews>
  <sheetFormatPr baseColWidth="10" defaultColWidth="9.1640625" defaultRowHeight="15" x14ac:dyDescent="0.2"/>
  <cols>
    <col min="1" max="1" width="11.6640625" customWidth="1"/>
    <col min="2" max="2" width="20.5" style="34" customWidth="1"/>
    <col min="3" max="6" width="19.5" customWidth="1"/>
    <col min="11" max="11" width="12.5" customWidth="1"/>
  </cols>
  <sheetData>
    <row r="1" spans="1:10" ht="16" x14ac:dyDescent="0.2">
      <c r="A1" s="1" t="s">
        <v>76</v>
      </c>
      <c r="B1" s="49"/>
    </row>
    <row r="2" spans="1:10" ht="15.75" customHeight="1" x14ac:dyDescent="0.2">
      <c r="A2" s="80" t="s">
        <v>6</v>
      </c>
      <c r="B2" s="78" t="s">
        <v>39</v>
      </c>
      <c r="C2" s="82" t="s">
        <v>40</v>
      </c>
      <c r="D2" s="82"/>
      <c r="E2" s="82" t="s">
        <v>70</v>
      </c>
      <c r="F2" s="82"/>
    </row>
    <row r="3" spans="1:10" ht="32" x14ac:dyDescent="0.2">
      <c r="A3" s="81"/>
      <c r="B3" s="79"/>
      <c r="C3" s="48" t="s">
        <v>41</v>
      </c>
      <c r="D3" s="48" t="s">
        <v>42</v>
      </c>
      <c r="E3" s="48" t="s">
        <v>41</v>
      </c>
      <c r="F3" s="48" t="s">
        <v>42</v>
      </c>
      <c r="J3" s="50"/>
    </row>
    <row r="4" spans="1:10" ht="16" x14ac:dyDescent="0.2">
      <c r="A4" s="76" t="s">
        <v>20</v>
      </c>
      <c r="B4" s="41" t="s">
        <v>43</v>
      </c>
      <c r="C4" s="64">
        <v>12249.197845249755</v>
      </c>
      <c r="D4" s="64">
        <v>843.80215475024477</v>
      </c>
      <c r="E4" s="66">
        <v>93.555318454515813</v>
      </c>
      <c r="F4" s="66">
        <v>6.4446815454841877</v>
      </c>
      <c r="J4" s="50"/>
    </row>
    <row r="5" spans="1:10" ht="16" x14ac:dyDescent="0.2">
      <c r="A5" s="74"/>
      <c r="B5" s="41" t="s">
        <v>33</v>
      </c>
      <c r="C5" s="64">
        <v>11909.092066601372</v>
      </c>
      <c r="D5" s="64">
        <v>1885.9079333986285</v>
      </c>
      <c r="E5" s="66">
        <v>86.329047238864604</v>
      </c>
      <c r="F5" s="66">
        <v>13.670952761135402</v>
      </c>
      <c r="J5" s="50"/>
    </row>
    <row r="6" spans="1:10" ht="16" x14ac:dyDescent="0.2">
      <c r="A6" s="74"/>
      <c r="B6" s="41" t="s">
        <v>32</v>
      </c>
      <c r="C6" s="64">
        <v>15360.355533790402</v>
      </c>
      <c r="D6" s="64">
        <v>4359.6444662095982</v>
      </c>
      <c r="E6" s="66">
        <v>77.892269441127794</v>
      </c>
      <c r="F6" s="66">
        <v>22.107730558872202</v>
      </c>
      <c r="J6" s="50"/>
    </row>
    <row r="7" spans="1:10" ht="16" x14ac:dyDescent="0.2">
      <c r="A7" s="74"/>
      <c r="B7" s="41" t="s">
        <v>31</v>
      </c>
      <c r="C7" s="64">
        <v>18608.422135161607</v>
      </c>
      <c r="D7" s="64">
        <v>7108.5778648383939</v>
      </c>
      <c r="E7" s="66">
        <v>72.358448244980394</v>
      </c>
      <c r="F7" s="66">
        <v>27.641551755019613</v>
      </c>
      <c r="J7" s="50"/>
    </row>
    <row r="8" spans="1:10" ht="16" x14ac:dyDescent="0.2">
      <c r="A8" s="74"/>
      <c r="B8" s="41" t="s">
        <v>30</v>
      </c>
      <c r="C8" s="64">
        <v>16582.579823702254</v>
      </c>
      <c r="D8" s="64">
        <v>10624.420176297746</v>
      </c>
      <c r="E8" s="66">
        <v>60.949681419128368</v>
      </c>
      <c r="F8" s="66">
        <v>39.050318580871632</v>
      </c>
      <c r="J8" s="50"/>
    </row>
    <row r="9" spans="1:10" ht="16" x14ac:dyDescent="0.2">
      <c r="A9" s="74"/>
      <c r="B9" s="41" t="s">
        <v>29</v>
      </c>
      <c r="C9" s="64">
        <v>12821.403525954947</v>
      </c>
      <c r="D9" s="64">
        <v>11672.596474045053</v>
      </c>
      <c r="E9" s="66">
        <v>52.345078492508158</v>
      </c>
      <c r="F9" s="66">
        <v>47.654921507491842</v>
      </c>
      <c r="J9" s="50"/>
    </row>
    <row r="10" spans="1:10" ht="16" x14ac:dyDescent="0.2">
      <c r="A10" s="74"/>
      <c r="B10" s="41" t="s">
        <v>28</v>
      </c>
      <c r="C10" s="64">
        <v>14086.730656219393</v>
      </c>
      <c r="D10" s="64">
        <v>11472.269343780607</v>
      </c>
      <c r="E10" s="66">
        <v>55.114561040022672</v>
      </c>
      <c r="F10" s="66">
        <v>44.885438959977328</v>
      </c>
      <c r="J10" s="50"/>
    </row>
    <row r="11" spans="1:10" ht="16" x14ac:dyDescent="0.2">
      <c r="A11" s="74"/>
      <c r="B11" s="44" t="s">
        <v>27</v>
      </c>
      <c r="C11" s="70">
        <v>101617.78158667973</v>
      </c>
      <c r="D11" s="70">
        <v>47967.218413320268</v>
      </c>
      <c r="E11" s="71">
        <v>67.933136067573443</v>
      </c>
      <c r="F11" s="71">
        <v>32.066863932426557</v>
      </c>
      <c r="J11" s="50"/>
    </row>
    <row r="12" spans="1:10" ht="16" x14ac:dyDescent="0.2">
      <c r="A12" s="74" t="s">
        <v>21</v>
      </c>
      <c r="B12" s="41" t="s">
        <v>43</v>
      </c>
      <c r="C12" s="63">
        <v>14620.337904015671</v>
      </c>
      <c r="D12" s="63">
        <v>745.66209598432897</v>
      </c>
      <c r="E12" s="65">
        <v>95.147324638914938</v>
      </c>
      <c r="F12" s="65">
        <v>4.8526753610850513</v>
      </c>
      <c r="J12" s="50"/>
    </row>
    <row r="13" spans="1:10" ht="16" x14ac:dyDescent="0.2">
      <c r="A13" s="74"/>
      <c r="B13" s="41" t="s">
        <v>33</v>
      </c>
      <c r="C13" s="64">
        <v>16831.006856023505</v>
      </c>
      <c r="D13" s="64">
        <v>1634.9931439764935</v>
      </c>
      <c r="E13" s="66">
        <v>91.145926871133469</v>
      </c>
      <c r="F13" s="66">
        <v>8.8540731288665295</v>
      </c>
      <c r="J13" s="50"/>
    </row>
    <row r="14" spans="1:10" ht="16" x14ac:dyDescent="0.2">
      <c r="A14" s="74"/>
      <c r="B14" s="41" t="s">
        <v>32</v>
      </c>
      <c r="C14" s="64">
        <v>22443.17042115573</v>
      </c>
      <c r="D14" s="64">
        <v>4633.8295788442701</v>
      </c>
      <c r="E14" s="66">
        <v>82.886473468832335</v>
      </c>
      <c r="F14" s="66">
        <v>17.113526531167668</v>
      </c>
      <c r="J14" s="50"/>
    </row>
    <row r="15" spans="1:10" ht="16" x14ac:dyDescent="0.2">
      <c r="A15" s="74"/>
      <c r="B15" s="41" t="s">
        <v>31</v>
      </c>
      <c r="C15" s="64">
        <v>26736.976493633694</v>
      </c>
      <c r="D15" s="64">
        <v>9299.0235063663058</v>
      </c>
      <c r="E15" s="66">
        <v>74.195183965017463</v>
      </c>
      <c r="F15" s="66">
        <v>25.804816034982537</v>
      </c>
      <c r="J15" s="50"/>
    </row>
    <row r="16" spans="1:10" ht="16" x14ac:dyDescent="0.2">
      <c r="A16" s="74"/>
      <c r="B16" s="41" t="s">
        <v>30</v>
      </c>
      <c r="C16" s="64">
        <v>25953.02448579824</v>
      </c>
      <c r="D16" s="64">
        <v>16611.97551420176</v>
      </c>
      <c r="E16" s="66">
        <v>60.972687620811087</v>
      </c>
      <c r="F16" s="66">
        <v>39.027312379188913</v>
      </c>
      <c r="J16" s="50"/>
    </row>
    <row r="17" spans="1:10" ht="16" x14ac:dyDescent="0.2">
      <c r="A17" s="74"/>
      <c r="B17" s="41" t="s">
        <v>29</v>
      </c>
      <c r="C17" s="64">
        <v>23180.408423114597</v>
      </c>
      <c r="D17" s="64">
        <v>22432.591576885403</v>
      </c>
      <c r="E17" s="66">
        <v>50.819740914025822</v>
      </c>
      <c r="F17" s="66">
        <v>49.180259085974178</v>
      </c>
      <c r="J17" s="50"/>
    </row>
    <row r="18" spans="1:10" ht="16" x14ac:dyDescent="0.2">
      <c r="A18" s="74"/>
      <c r="B18" s="41" t="s">
        <v>28</v>
      </c>
      <c r="C18" s="64">
        <v>34737.268364348682</v>
      </c>
      <c r="D18" s="64">
        <v>31827.731635651318</v>
      </c>
      <c r="E18" s="66">
        <v>52.185485411775979</v>
      </c>
      <c r="F18" s="66">
        <v>47.814514588224021</v>
      </c>
      <c r="J18" s="50"/>
    </row>
    <row r="19" spans="1:10" ht="16" x14ac:dyDescent="0.2">
      <c r="A19" s="74"/>
      <c r="B19" s="44" t="s">
        <v>27</v>
      </c>
      <c r="C19" s="70">
        <v>164502.19294809012</v>
      </c>
      <c r="D19" s="70">
        <v>87185.807051909884</v>
      </c>
      <c r="E19" s="71">
        <v>65.359569366870929</v>
      </c>
      <c r="F19" s="71">
        <v>34.640430633129064</v>
      </c>
      <c r="J19" s="50"/>
    </row>
    <row r="20" spans="1:10" ht="16" x14ac:dyDescent="0.2">
      <c r="A20" s="74" t="s">
        <v>7</v>
      </c>
      <c r="B20" s="41" t="s">
        <v>43</v>
      </c>
      <c r="C20" s="64">
        <v>26868.535749265426</v>
      </c>
      <c r="D20" s="64">
        <v>1589.4642507345739</v>
      </c>
      <c r="E20" s="66">
        <v>94.414701487333701</v>
      </c>
      <c r="F20" s="66">
        <v>5.5852985126662942</v>
      </c>
      <c r="J20" s="50"/>
    </row>
    <row r="21" spans="1:10" ht="16" x14ac:dyDescent="0.2">
      <c r="A21" s="74"/>
      <c r="B21" s="41" t="s">
        <v>33</v>
      </c>
      <c r="C21" s="64">
        <v>28741.087169441726</v>
      </c>
      <c r="D21" s="64">
        <v>3521.9128305582758</v>
      </c>
      <c r="E21" s="66">
        <v>89.083740412986174</v>
      </c>
      <c r="F21" s="66">
        <v>10.916259587013842</v>
      </c>
      <c r="J21" s="50"/>
    </row>
    <row r="22" spans="1:10" ht="16" x14ac:dyDescent="0.2">
      <c r="A22" s="74"/>
      <c r="B22" s="41" t="s">
        <v>32</v>
      </c>
      <c r="C22" s="64">
        <v>37804.525954946133</v>
      </c>
      <c r="D22" s="64">
        <v>8993.4740450538684</v>
      </c>
      <c r="E22" s="66">
        <v>80.782353850476795</v>
      </c>
      <c r="F22" s="66">
        <v>19.217646149523201</v>
      </c>
      <c r="J22" s="50"/>
    </row>
    <row r="23" spans="1:10" ht="16" x14ac:dyDescent="0.2">
      <c r="A23" s="74"/>
      <c r="B23" s="41" t="s">
        <v>31</v>
      </c>
      <c r="C23" s="64">
        <v>45345.398628795301</v>
      </c>
      <c r="D23" s="64">
        <v>16407.601371204702</v>
      </c>
      <c r="E23" s="66">
        <v>73.430276470447268</v>
      </c>
      <c r="F23" s="66">
        <v>26.569723529552736</v>
      </c>
      <c r="J23" s="50"/>
    </row>
    <row r="24" spans="1:10" ht="16" x14ac:dyDescent="0.2">
      <c r="A24" s="74"/>
      <c r="B24" s="41" t="s">
        <v>30</v>
      </c>
      <c r="C24" s="64">
        <v>42535.604309500486</v>
      </c>
      <c r="D24" s="64">
        <v>27236.39569049951</v>
      </c>
      <c r="E24" s="66">
        <v>60.963716547469595</v>
      </c>
      <c r="F24" s="66">
        <v>39.036283452530398</v>
      </c>
      <c r="J24" s="50"/>
    </row>
    <row r="25" spans="1:10" ht="16" x14ac:dyDescent="0.2">
      <c r="A25" s="74"/>
      <c r="B25" s="41" t="s">
        <v>29</v>
      </c>
      <c r="C25" s="64">
        <v>36001.811949069539</v>
      </c>
      <c r="D25" s="64">
        <v>34105.188050930461</v>
      </c>
      <c r="E25" s="66">
        <v>51.352663712709912</v>
      </c>
      <c r="F25" s="66">
        <v>48.647336287290088</v>
      </c>
      <c r="J25" s="50"/>
    </row>
    <row r="26" spans="1:10" ht="16" x14ac:dyDescent="0.2">
      <c r="A26" s="74"/>
      <c r="B26" s="41" t="s">
        <v>28</v>
      </c>
      <c r="C26" s="64">
        <v>48823.999020568073</v>
      </c>
      <c r="D26" s="64">
        <v>43300.000979431927</v>
      </c>
      <c r="E26" s="66">
        <v>52.998131888072677</v>
      </c>
      <c r="F26" s="66">
        <v>47.001868111927323</v>
      </c>
      <c r="J26" s="50"/>
    </row>
    <row r="27" spans="1:10" ht="16" x14ac:dyDescent="0.2">
      <c r="A27" s="75"/>
      <c r="B27" s="38" t="s">
        <v>27</v>
      </c>
      <c r="C27" s="70">
        <v>266119.96278158668</v>
      </c>
      <c r="D27" s="70">
        <v>135154.03721841332</v>
      </c>
      <c r="E27" s="71">
        <v>66.318765427510044</v>
      </c>
      <c r="F27" s="71">
        <v>33.681234572489949</v>
      </c>
      <c r="J27" s="50"/>
    </row>
    <row r="28" spans="1:10" x14ac:dyDescent="0.2">
      <c r="A28" s="69" t="s">
        <v>87</v>
      </c>
      <c r="B28" s="69"/>
      <c r="C28" s="69"/>
      <c r="D28" s="69"/>
      <c r="E28" s="69"/>
      <c r="F28" s="69"/>
      <c r="J28" s="50"/>
    </row>
    <row r="29" spans="1:10" x14ac:dyDescent="0.2">
      <c r="A29" t="s">
        <v>75</v>
      </c>
      <c r="B29"/>
      <c r="J29" s="50"/>
    </row>
    <row r="30" spans="1:10" x14ac:dyDescent="0.2">
      <c r="J30" s="50"/>
    </row>
    <row r="31" spans="1:10" x14ac:dyDescent="0.2">
      <c r="A31" s="73" t="s">
        <v>73</v>
      </c>
      <c r="J31" s="50"/>
    </row>
    <row r="32" spans="1:10" x14ac:dyDescent="0.2">
      <c r="J32" s="50"/>
    </row>
    <row r="33" spans="10:10" x14ac:dyDescent="0.2">
      <c r="J33" s="50"/>
    </row>
    <row r="34" spans="10:10" x14ac:dyDescent="0.2">
      <c r="J34" s="50"/>
    </row>
    <row r="35" spans="10:10" x14ac:dyDescent="0.2">
      <c r="J35" s="50"/>
    </row>
    <row r="36" spans="10:10" x14ac:dyDescent="0.2">
      <c r="J36" s="50"/>
    </row>
    <row r="37" spans="10:10" x14ac:dyDescent="0.2">
      <c r="J37" s="50"/>
    </row>
    <row r="38" spans="10:10" x14ac:dyDescent="0.2">
      <c r="J38" s="50"/>
    </row>
    <row r="39" spans="10:10" x14ac:dyDescent="0.2">
      <c r="J39" s="50"/>
    </row>
    <row r="40" spans="10:10" x14ac:dyDescent="0.2">
      <c r="J40" s="50"/>
    </row>
    <row r="41" spans="10:10" x14ac:dyDescent="0.2">
      <c r="J41" s="50"/>
    </row>
    <row r="42" spans="10:10" x14ac:dyDescent="0.2">
      <c r="J42" s="50"/>
    </row>
    <row r="43" spans="10:10" x14ac:dyDescent="0.2">
      <c r="J43" s="50"/>
    </row>
    <row r="44" spans="10:10" x14ac:dyDescent="0.2">
      <c r="J44" s="50"/>
    </row>
    <row r="45" spans="10:10" x14ac:dyDescent="0.2">
      <c r="J45" s="50"/>
    </row>
    <row r="46" spans="10:10" x14ac:dyDescent="0.2">
      <c r="J46" s="50"/>
    </row>
    <row r="47" spans="10:10" x14ac:dyDescent="0.2">
      <c r="J47" s="50"/>
    </row>
    <row r="48" spans="10:10" x14ac:dyDescent="0.2">
      <c r="J48" s="50"/>
    </row>
    <row r="49" spans="10:10" x14ac:dyDescent="0.2">
      <c r="J49" s="50"/>
    </row>
    <row r="50" spans="10:10" x14ac:dyDescent="0.2">
      <c r="J50" s="50"/>
    </row>
  </sheetData>
  <mergeCells count="7">
    <mergeCell ref="A20:A27"/>
    <mergeCell ref="A2:A3"/>
    <mergeCell ref="B2:B3"/>
    <mergeCell ref="C2:D2"/>
    <mergeCell ref="E2:F2"/>
    <mergeCell ref="A4:A11"/>
    <mergeCell ref="A12:A19"/>
  </mergeCells>
  <hyperlinks>
    <hyperlink ref="A31" location="Contents!A1" display="Back to contents page" xr:uid="{7FFA58CE-52ED-4D9E-9194-409AFAA3676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178D-530C-45B9-A785-9D9B273A0FBF}">
  <dimension ref="A1:D9"/>
  <sheetViews>
    <sheetView workbookViewId="0"/>
  </sheetViews>
  <sheetFormatPr baseColWidth="10" defaultColWidth="8.83203125" defaultRowHeight="15" x14ac:dyDescent="0.2"/>
  <cols>
    <col min="1" max="1" width="19.6640625" customWidth="1"/>
    <col min="2" max="2" width="19.83203125" customWidth="1"/>
    <col min="3" max="4" width="13.33203125" customWidth="1"/>
  </cols>
  <sheetData>
    <row r="1" spans="1:4" ht="16" x14ac:dyDescent="0.2">
      <c r="A1" s="51" t="s">
        <v>77</v>
      </c>
    </row>
    <row r="2" spans="1:4" ht="15.75" customHeight="1" x14ac:dyDescent="0.2">
      <c r="A2" s="83" t="s">
        <v>44</v>
      </c>
      <c r="B2" s="85" t="s">
        <v>69</v>
      </c>
      <c r="C2" s="82" t="s">
        <v>45</v>
      </c>
      <c r="D2" s="82"/>
    </row>
    <row r="3" spans="1:4" x14ac:dyDescent="0.2">
      <c r="A3" s="84"/>
      <c r="B3" s="86"/>
      <c r="C3" s="52" t="s">
        <v>46</v>
      </c>
      <c r="D3" s="52" t="s">
        <v>47</v>
      </c>
    </row>
    <row r="4" spans="1:4" x14ac:dyDescent="0.2">
      <c r="A4" t="s">
        <v>48</v>
      </c>
      <c r="B4" s="53">
        <v>16.100000000000001</v>
      </c>
      <c r="C4" s="53">
        <v>8.3000000000000007</v>
      </c>
      <c r="D4" s="53">
        <v>23.9</v>
      </c>
    </row>
    <row r="5" spans="1:4" x14ac:dyDescent="0.2">
      <c r="A5" s="31" t="s">
        <v>49</v>
      </c>
      <c r="B5" s="55">
        <v>83.9</v>
      </c>
      <c r="C5" s="55">
        <v>76.099999999999994</v>
      </c>
      <c r="D5" s="55">
        <v>91.7</v>
      </c>
    </row>
    <row r="6" spans="1:4" x14ac:dyDescent="0.2">
      <c r="A6" t="s">
        <v>68</v>
      </c>
      <c r="B6" s="54"/>
      <c r="C6" s="54"/>
      <c r="D6" s="54"/>
    </row>
    <row r="7" spans="1:4" x14ac:dyDescent="0.2">
      <c r="A7" t="s">
        <v>67</v>
      </c>
    </row>
    <row r="9" spans="1:4" x14ac:dyDescent="0.2">
      <c r="A9" s="73" t="s">
        <v>73</v>
      </c>
    </row>
  </sheetData>
  <mergeCells count="3">
    <mergeCell ref="A2:A3"/>
    <mergeCell ref="B2:B3"/>
    <mergeCell ref="C2:D2"/>
  </mergeCells>
  <hyperlinks>
    <hyperlink ref="A9" location="Contents!A1" display="Back to contents page" xr:uid="{FB9FECD6-C6E2-421C-A10F-6ECF0A78403C}"/>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2927-53C6-4328-AFD3-83CE4BB98737}">
  <dimension ref="A1:D63"/>
  <sheetViews>
    <sheetView workbookViewId="0"/>
  </sheetViews>
  <sheetFormatPr baseColWidth="10" defaultColWidth="9.1640625" defaultRowHeight="15" x14ac:dyDescent="0.2"/>
  <cols>
    <col min="1" max="1" width="10.5" style="59" customWidth="1"/>
    <col min="2" max="4" width="11.5" customWidth="1"/>
  </cols>
  <sheetData>
    <row r="1" spans="1:4" ht="16" x14ac:dyDescent="0.2">
      <c r="A1" s="51" t="s">
        <v>62</v>
      </c>
    </row>
    <row r="2" spans="1:4" x14ac:dyDescent="0.2">
      <c r="A2" s="78" t="s">
        <v>50</v>
      </c>
      <c r="B2" s="77" t="s">
        <v>6</v>
      </c>
      <c r="C2" s="77"/>
      <c r="D2" s="77"/>
    </row>
    <row r="3" spans="1:4" ht="16" x14ac:dyDescent="0.2">
      <c r="A3" s="79"/>
      <c r="B3" s="48" t="s">
        <v>20</v>
      </c>
      <c r="C3" s="48" t="s">
        <v>21</v>
      </c>
      <c r="D3" s="48" t="s">
        <v>7</v>
      </c>
    </row>
    <row r="4" spans="1:4" x14ac:dyDescent="0.2">
      <c r="A4" s="56">
        <v>2010</v>
      </c>
      <c r="B4" s="32">
        <v>96770</v>
      </c>
      <c r="C4" s="32">
        <v>181327</v>
      </c>
      <c r="D4" s="32">
        <v>278096</v>
      </c>
    </row>
    <row r="5" spans="1:4" x14ac:dyDescent="0.2">
      <c r="A5" s="56">
        <v>2011</v>
      </c>
      <c r="B5" s="32">
        <v>100459</v>
      </c>
      <c r="C5" s="32">
        <v>186913</v>
      </c>
      <c r="D5" s="32">
        <v>287372</v>
      </c>
    </row>
    <row r="6" spans="1:4" x14ac:dyDescent="0.2">
      <c r="A6" s="56">
        <v>2012</v>
      </c>
      <c r="B6" s="32">
        <v>104335</v>
      </c>
      <c r="C6" s="32">
        <v>192355</v>
      </c>
      <c r="D6" s="32">
        <v>296690</v>
      </c>
    </row>
    <row r="7" spans="1:4" x14ac:dyDescent="0.2">
      <c r="A7" s="56">
        <v>2013</v>
      </c>
      <c r="B7" s="32">
        <v>108252</v>
      </c>
      <c r="C7" s="32">
        <v>197798</v>
      </c>
      <c r="D7" s="32">
        <v>306049</v>
      </c>
    </row>
    <row r="8" spans="1:4" x14ac:dyDescent="0.2">
      <c r="A8" s="56">
        <v>2014</v>
      </c>
      <c r="B8" s="32">
        <v>112339</v>
      </c>
      <c r="C8" s="32">
        <v>203446</v>
      </c>
      <c r="D8" s="32">
        <v>315785</v>
      </c>
    </row>
    <row r="9" spans="1:4" x14ac:dyDescent="0.2">
      <c r="A9" s="56">
        <v>2015</v>
      </c>
      <c r="B9" s="32">
        <v>116347</v>
      </c>
      <c r="C9" s="32">
        <v>208663</v>
      </c>
      <c r="D9" s="32">
        <v>325010</v>
      </c>
    </row>
    <row r="10" spans="1:4" x14ac:dyDescent="0.2">
      <c r="A10" s="56">
        <v>2016</v>
      </c>
      <c r="B10" s="32">
        <v>120662</v>
      </c>
      <c r="C10" s="32">
        <v>214230</v>
      </c>
      <c r="D10" s="32">
        <v>334892</v>
      </c>
    </row>
    <row r="11" spans="1:4" x14ac:dyDescent="0.2">
      <c r="A11" s="56">
        <v>2017</v>
      </c>
      <c r="B11" s="32">
        <v>124904</v>
      </c>
      <c r="C11" s="32">
        <v>219595</v>
      </c>
      <c r="D11" s="32">
        <v>344499</v>
      </c>
    </row>
    <row r="12" spans="1:4" x14ac:dyDescent="0.2">
      <c r="A12" s="56">
        <v>2018</v>
      </c>
      <c r="B12" s="32">
        <v>129154</v>
      </c>
      <c r="C12" s="32">
        <v>224943</v>
      </c>
      <c r="D12" s="32">
        <v>354097</v>
      </c>
    </row>
    <row r="13" spans="1:4" x14ac:dyDescent="0.2">
      <c r="A13" s="56">
        <v>2019</v>
      </c>
      <c r="B13" s="32">
        <v>133709</v>
      </c>
      <c r="C13" s="32">
        <v>231005</v>
      </c>
      <c r="D13" s="32">
        <v>364713</v>
      </c>
    </row>
    <row r="14" spans="1:4" x14ac:dyDescent="0.2">
      <c r="A14" s="56">
        <v>2020</v>
      </c>
      <c r="B14" s="32">
        <v>139246</v>
      </c>
      <c r="C14" s="32">
        <v>238398</v>
      </c>
      <c r="D14" s="32">
        <v>377644</v>
      </c>
    </row>
    <row r="15" spans="1:4" x14ac:dyDescent="0.2">
      <c r="A15" s="56">
        <v>2021</v>
      </c>
      <c r="B15" s="32">
        <v>144299</v>
      </c>
      <c r="C15" s="32">
        <v>245167</v>
      </c>
      <c r="D15" s="32">
        <v>389466</v>
      </c>
    </row>
    <row r="16" spans="1:4" x14ac:dyDescent="0.2">
      <c r="A16" s="56">
        <v>2022</v>
      </c>
      <c r="B16" s="32">
        <v>149002</v>
      </c>
      <c r="C16" s="32">
        <v>251495</v>
      </c>
      <c r="D16" s="32">
        <v>400497</v>
      </c>
    </row>
    <row r="17" spans="1:4" x14ac:dyDescent="0.2">
      <c r="A17" s="56">
        <v>2023</v>
      </c>
      <c r="B17" s="32">
        <v>153618</v>
      </c>
      <c r="C17" s="32">
        <v>257807</v>
      </c>
      <c r="D17" s="32">
        <v>411424</v>
      </c>
    </row>
    <row r="18" spans="1:4" x14ac:dyDescent="0.2">
      <c r="A18" s="56">
        <v>2024</v>
      </c>
      <c r="B18" s="32">
        <v>159152</v>
      </c>
      <c r="C18" s="32">
        <v>265525</v>
      </c>
      <c r="D18" s="32">
        <v>424677</v>
      </c>
    </row>
    <row r="19" spans="1:4" x14ac:dyDescent="0.2">
      <c r="A19" s="56">
        <v>2025</v>
      </c>
      <c r="B19" s="32">
        <v>166504</v>
      </c>
      <c r="C19" s="32">
        <v>276771</v>
      </c>
      <c r="D19" s="32">
        <v>443274</v>
      </c>
    </row>
    <row r="20" spans="1:4" x14ac:dyDescent="0.2">
      <c r="A20" s="56">
        <v>2026</v>
      </c>
      <c r="B20" s="32">
        <v>172849</v>
      </c>
      <c r="C20" s="32">
        <v>286199</v>
      </c>
      <c r="D20" s="32">
        <v>459048</v>
      </c>
    </row>
    <row r="21" spans="1:4" x14ac:dyDescent="0.2">
      <c r="A21" s="56">
        <v>2027</v>
      </c>
      <c r="B21" s="32">
        <v>179939</v>
      </c>
      <c r="C21" s="32">
        <v>296992</v>
      </c>
      <c r="D21" s="32">
        <v>476931</v>
      </c>
    </row>
    <row r="22" spans="1:4" x14ac:dyDescent="0.2">
      <c r="A22" s="56">
        <v>2028</v>
      </c>
      <c r="B22" s="32">
        <v>186750</v>
      </c>
      <c r="C22" s="32">
        <v>307731</v>
      </c>
      <c r="D22" s="32">
        <v>494481</v>
      </c>
    </row>
    <row r="23" spans="1:4" x14ac:dyDescent="0.2">
      <c r="A23" s="56">
        <v>2029</v>
      </c>
      <c r="B23" s="32">
        <v>193675</v>
      </c>
      <c r="C23" s="32">
        <v>318999</v>
      </c>
      <c r="D23" s="32">
        <v>512674</v>
      </c>
    </row>
    <row r="24" spans="1:4" x14ac:dyDescent="0.2">
      <c r="A24" s="56">
        <v>2030</v>
      </c>
      <c r="B24" s="32">
        <v>200698</v>
      </c>
      <c r="C24" s="32">
        <v>330505</v>
      </c>
      <c r="D24" s="32">
        <v>531203</v>
      </c>
    </row>
    <row r="25" spans="1:4" x14ac:dyDescent="0.2">
      <c r="A25" s="56">
        <v>2031</v>
      </c>
      <c r="B25" s="32">
        <v>207863</v>
      </c>
      <c r="C25" s="32">
        <v>342223</v>
      </c>
      <c r="D25" s="32">
        <v>550086</v>
      </c>
    </row>
    <row r="26" spans="1:4" x14ac:dyDescent="0.2">
      <c r="A26" s="56">
        <v>2032</v>
      </c>
      <c r="B26" s="32">
        <v>215631</v>
      </c>
      <c r="C26" s="32">
        <v>355222</v>
      </c>
      <c r="D26" s="32">
        <v>570854</v>
      </c>
    </row>
    <row r="27" spans="1:4" x14ac:dyDescent="0.2">
      <c r="A27" s="56">
        <v>2033</v>
      </c>
      <c r="B27" s="32">
        <v>222789</v>
      </c>
      <c r="C27" s="32">
        <v>367575</v>
      </c>
      <c r="D27" s="32">
        <v>590363</v>
      </c>
    </row>
    <row r="28" spans="1:4" x14ac:dyDescent="0.2">
      <c r="A28" s="56">
        <v>2034</v>
      </c>
      <c r="B28" s="32">
        <v>229857</v>
      </c>
      <c r="C28" s="32">
        <v>380128</v>
      </c>
      <c r="D28" s="32">
        <v>609985</v>
      </c>
    </row>
    <row r="29" spans="1:4" x14ac:dyDescent="0.2">
      <c r="A29" s="56">
        <v>2035</v>
      </c>
      <c r="B29" s="32">
        <v>236784</v>
      </c>
      <c r="C29" s="32">
        <v>392714</v>
      </c>
      <c r="D29" s="32">
        <v>629498</v>
      </c>
    </row>
    <row r="30" spans="1:4" x14ac:dyDescent="0.2">
      <c r="A30" s="56">
        <v>2036</v>
      </c>
      <c r="B30" s="32">
        <v>243745</v>
      </c>
      <c r="C30" s="32">
        <v>405211</v>
      </c>
      <c r="D30" s="32">
        <v>648956</v>
      </c>
    </row>
    <row r="31" spans="1:4" x14ac:dyDescent="0.2">
      <c r="A31" s="56">
        <v>2037</v>
      </c>
      <c r="B31" s="32">
        <v>251247</v>
      </c>
      <c r="C31" s="32">
        <v>419210</v>
      </c>
      <c r="D31" s="32">
        <v>670457</v>
      </c>
    </row>
    <row r="32" spans="1:4" x14ac:dyDescent="0.2">
      <c r="A32" s="56">
        <v>2038</v>
      </c>
      <c r="B32" s="32">
        <v>258043</v>
      </c>
      <c r="C32" s="32">
        <v>432073</v>
      </c>
      <c r="D32" s="32">
        <v>690116</v>
      </c>
    </row>
    <row r="33" spans="1:4" x14ac:dyDescent="0.2">
      <c r="A33" s="56">
        <v>2039</v>
      </c>
      <c r="B33" s="32">
        <v>264259</v>
      </c>
      <c r="C33" s="32">
        <v>444086</v>
      </c>
      <c r="D33" s="32">
        <v>708345</v>
      </c>
    </row>
    <row r="34" spans="1:4" x14ac:dyDescent="0.2">
      <c r="A34" s="56">
        <v>2040</v>
      </c>
      <c r="B34" s="32">
        <v>270211</v>
      </c>
      <c r="C34" s="32">
        <v>455662</v>
      </c>
      <c r="D34" s="32">
        <v>725873</v>
      </c>
    </row>
    <row r="35" spans="1:4" x14ac:dyDescent="0.2">
      <c r="A35" s="56">
        <v>2041</v>
      </c>
      <c r="B35" s="32">
        <v>276242</v>
      </c>
      <c r="C35" s="32">
        <v>467002</v>
      </c>
      <c r="D35" s="32">
        <v>743244</v>
      </c>
    </row>
    <row r="36" spans="1:4" x14ac:dyDescent="0.2">
      <c r="A36" s="56">
        <v>2042</v>
      </c>
      <c r="B36" s="32">
        <v>281954</v>
      </c>
      <c r="C36" s="32">
        <v>477712</v>
      </c>
      <c r="D36" s="32">
        <v>759666</v>
      </c>
    </row>
    <row r="37" spans="1:4" x14ac:dyDescent="0.2">
      <c r="A37" s="56">
        <v>2043</v>
      </c>
      <c r="B37" s="32">
        <v>287574</v>
      </c>
      <c r="C37" s="32">
        <v>488263</v>
      </c>
      <c r="D37" s="32">
        <v>775836</v>
      </c>
    </row>
    <row r="38" spans="1:4" x14ac:dyDescent="0.2">
      <c r="A38" s="56">
        <v>2044</v>
      </c>
      <c r="B38" s="32">
        <v>292966</v>
      </c>
      <c r="C38" s="32">
        <v>498364</v>
      </c>
      <c r="D38" s="32">
        <v>791330</v>
      </c>
    </row>
    <row r="39" spans="1:4" x14ac:dyDescent="0.2">
      <c r="A39" s="56">
        <v>2045</v>
      </c>
      <c r="B39" s="32">
        <v>298164</v>
      </c>
      <c r="C39" s="32">
        <v>508063</v>
      </c>
      <c r="D39" s="32">
        <v>806227</v>
      </c>
    </row>
    <row r="40" spans="1:4" x14ac:dyDescent="0.2">
      <c r="A40" s="56">
        <v>2046</v>
      </c>
      <c r="B40" s="32">
        <v>303679</v>
      </c>
      <c r="C40" s="32">
        <v>517932</v>
      </c>
      <c r="D40" s="32">
        <v>821610</v>
      </c>
    </row>
    <row r="41" spans="1:4" x14ac:dyDescent="0.2">
      <c r="A41" s="56">
        <v>2047</v>
      </c>
      <c r="B41" s="32">
        <v>308941</v>
      </c>
      <c r="C41" s="32">
        <v>527437</v>
      </c>
      <c r="D41" s="32">
        <v>836378</v>
      </c>
    </row>
    <row r="42" spans="1:4" x14ac:dyDescent="0.2">
      <c r="A42" s="56">
        <v>2048</v>
      </c>
      <c r="B42" s="32">
        <v>314055</v>
      </c>
      <c r="C42" s="32">
        <v>536792</v>
      </c>
      <c r="D42" s="32">
        <v>850847</v>
      </c>
    </row>
    <row r="43" spans="1:4" x14ac:dyDescent="0.2">
      <c r="A43" s="56">
        <v>2049</v>
      </c>
      <c r="B43" s="32">
        <v>319121</v>
      </c>
      <c r="C43" s="32">
        <v>545906</v>
      </c>
      <c r="D43" s="32">
        <v>865027</v>
      </c>
    </row>
    <row r="44" spans="1:4" x14ac:dyDescent="0.2">
      <c r="A44" s="56">
        <v>2050</v>
      </c>
      <c r="B44" s="32">
        <v>323895</v>
      </c>
      <c r="C44" s="32">
        <v>554453</v>
      </c>
      <c r="D44" s="32">
        <v>878349</v>
      </c>
    </row>
    <row r="45" spans="1:4" x14ac:dyDescent="0.2">
      <c r="A45" s="56">
        <v>2051</v>
      </c>
      <c r="B45" s="32">
        <v>328980</v>
      </c>
      <c r="C45" s="32">
        <v>563401</v>
      </c>
      <c r="D45" s="32">
        <v>892381</v>
      </c>
    </row>
    <row r="46" spans="1:4" x14ac:dyDescent="0.2">
      <c r="A46" s="56">
        <v>2052</v>
      </c>
      <c r="B46" s="32">
        <v>333749</v>
      </c>
      <c r="C46" s="32">
        <v>571708</v>
      </c>
      <c r="D46" s="32">
        <v>905457</v>
      </c>
    </row>
    <row r="47" spans="1:4" x14ac:dyDescent="0.2">
      <c r="A47" s="56">
        <v>2053</v>
      </c>
      <c r="B47" s="32">
        <v>338257</v>
      </c>
      <c r="C47" s="32">
        <v>579530</v>
      </c>
      <c r="D47" s="32">
        <v>917787</v>
      </c>
    </row>
    <row r="48" spans="1:4" x14ac:dyDescent="0.2">
      <c r="A48" s="56">
        <v>2054</v>
      </c>
      <c r="B48" s="32">
        <v>342581</v>
      </c>
      <c r="C48" s="32">
        <v>586886</v>
      </c>
      <c r="D48" s="32">
        <v>929467</v>
      </c>
    </row>
    <row r="49" spans="1:4" x14ac:dyDescent="0.2">
      <c r="A49" s="56">
        <v>2055</v>
      </c>
      <c r="B49" s="32">
        <v>346553</v>
      </c>
      <c r="C49" s="32">
        <v>593331</v>
      </c>
      <c r="D49" s="32">
        <v>939884</v>
      </c>
    </row>
    <row r="50" spans="1:4" x14ac:dyDescent="0.2">
      <c r="A50" s="56">
        <v>2056</v>
      </c>
      <c r="B50" s="32">
        <v>350733</v>
      </c>
      <c r="C50" s="32">
        <v>599994</v>
      </c>
      <c r="D50" s="32">
        <v>950727</v>
      </c>
    </row>
    <row r="51" spans="1:4" x14ac:dyDescent="0.2">
      <c r="A51" s="56">
        <v>2057</v>
      </c>
      <c r="B51" s="32">
        <v>354682</v>
      </c>
      <c r="C51" s="32">
        <v>606307</v>
      </c>
      <c r="D51" s="32">
        <v>960989</v>
      </c>
    </row>
    <row r="52" spans="1:4" x14ac:dyDescent="0.2">
      <c r="A52" s="56">
        <v>2058</v>
      </c>
      <c r="B52" s="32">
        <v>358549</v>
      </c>
      <c r="C52" s="32">
        <v>612476</v>
      </c>
      <c r="D52" s="32">
        <v>971024</v>
      </c>
    </row>
    <row r="53" spans="1:4" x14ac:dyDescent="0.2">
      <c r="A53" s="56">
        <v>2059</v>
      </c>
      <c r="B53" s="32">
        <v>362685</v>
      </c>
      <c r="C53" s="32">
        <v>619134</v>
      </c>
      <c r="D53" s="32">
        <v>981819</v>
      </c>
    </row>
    <row r="54" spans="1:4" x14ac:dyDescent="0.2">
      <c r="A54" s="56">
        <v>2060</v>
      </c>
      <c r="B54" s="32">
        <v>366999</v>
      </c>
      <c r="C54" s="32">
        <v>625877</v>
      </c>
      <c r="D54" s="32">
        <v>992876</v>
      </c>
    </row>
    <row r="55" spans="1:4" x14ac:dyDescent="0.2">
      <c r="A55" s="56">
        <v>2061</v>
      </c>
      <c r="B55" s="32">
        <v>372013</v>
      </c>
      <c r="C55" s="32">
        <v>633931</v>
      </c>
      <c r="D55" s="32">
        <v>1005944</v>
      </c>
    </row>
    <row r="56" spans="1:4" x14ac:dyDescent="0.2">
      <c r="A56" s="56">
        <v>2062</v>
      </c>
      <c r="B56" s="32">
        <v>376710</v>
      </c>
      <c r="C56" s="32">
        <v>641524</v>
      </c>
      <c r="D56" s="32">
        <v>1018234</v>
      </c>
    </row>
    <row r="57" spans="1:4" x14ac:dyDescent="0.2">
      <c r="A57" s="56">
        <v>2063</v>
      </c>
      <c r="B57" s="32">
        <v>381162</v>
      </c>
      <c r="C57" s="32">
        <v>648462</v>
      </c>
      <c r="D57" s="32">
        <v>1029624</v>
      </c>
    </row>
    <row r="58" spans="1:4" x14ac:dyDescent="0.2">
      <c r="A58" s="56">
        <v>2064</v>
      </c>
      <c r="B58" s="32">
        <v>385634</v>
      </c>
      <c r="C58" s="32">
        <v>655171</v>
      </c>
      <c r="D58" s="32">
        <v>1040805</v>
      </c>
    </row>
    <row r="59" spans="1:4" x14ac:dyDescent="0.2">
      <c r="A59" s="57">
        <v>2065</v>
      </c>
      <c r="B59" s="33">
        <v>390268</v>
      </c>
      <c r="C59" s="33">
        <v>661931</v>
      </c>
      <c r="D59" s="33">
        <v>1052199</v>
      </c>
    </row>
    <row r="60" spans="1:4" x14ac:dyDescent="0.2">
      <c r="A60" s="67" t="s">
        <v>55</v>
      </c>
      <c r="B60" s="2"/>
      <c r="C60" s="2"/>
      <c r="D60" s="2"/>
    </row>
    <row r="61" spans="1:4" x14ac:dyDescent="0.2">
      <c r="A61" t="s">
        <v>66</v>
      </c>
    </row>
    <row r="62" spans="1:4" x14ac:dyDescent="0.2">
      <c r="A62" s="58"/>
    </row>
    <row r="63" spans="1:4" x14ac:dyDescent="0.2">
      <c r="A63" s="73" t="s">
        <v>73</v>
      </c>
    </row>
  </sheetData>
  <mergeCells count="2">
    <mergeCell ref="A2:A3"/>
    <mergeCell ref="B2:D2"/>
  </mergeCells>
  <hyperlinks>
    <hyperlink ref="A63" location="Contents!A1" display="Back to contents page" xr:uid="{01FB47F3-B727-4B3B-99E6-0F850125453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F449-E04B-4069-A84F-637A47680EE4}">
  <dimension ref="A1:E63"/>
  <sheetViews>
    <sheetView workbookViewId="0"/>
  </sheetViews>
  <sheetFormatPr baseColWidth="10" defaultColWidth="9.1640625" defaultRowHeight="15" x14ac:dyDescent="0.2"/>
  <cols>
    <col min="1" max="1" width="10.5" style="59" customWidth="1"/>
    <col min="2" max="4" width="13" customWidth="1"/>
  </cols>
  <sheetData>
    <row r="1" spans="1:5" ht="16" x14ac:dyDescent="0.2">
      <c r="A1" s="51" t="s">
        <v>63</v>
      </c>
    </row>
    <row r="2" spans="1:5" x14ac:dyDescent="0.2">
      <c r="A2" s="78" t="s">
        <v>50</v>
      </c>
      <c r="B2" s="77" t="s">
        <v>51</v>
      </c>
      <c r="C2" s="77"/>
      <c r="D2" s="77"/>
    </row>
    <row r="3" spans="1:5" ht="16" x14ac:dyDescent="0.2">
      <c r="A3" s="79"/>
      <c r="B3" s="48" t="s">
        <v>52</v>
      </c>
      <c r="C3" s="48" t="s">
        <v>53</v>
      </c>
      <c r="D3" s="48" t="s">
        <v>54</v>
      </c>
    </row>
    <row r="4" spans="1:5" x14ac:dyDescent="0.2">
      <c r="A4" s="56">
        <v>2010</v>
      </c>
      <c r="B4" s="60">
        <v>23212</v>
      </c>
      <c r="C4" s="60">
        <v>144619</v>
      </c>
      <c r="D4" s="2">
        <v>110265</v>
      </c>
    </row>
    <row r="5" spans="1:5" x14ac:dyDescent="0.2">
      <c r="A5" s="56">
        <v>2011</v>
      </c>
      <c r="B5" s="60">
        <v>23776</v>
      </c>
      <c r="C5" s="60">
        <v>148086</v>
      </c>
      <c r="D5" s="2">
        <v>115510</v>
      </c>
    </row>
    <row r="6" spans="1:5" x14ac:dyDescent="0.2">
      <c r="A6" s="56">
        <v>2012</v>
      </c>
      <c r="B6" s="60">
        <v>23848</v>
      </c>
      <c r="C6" s="60">
        <v>151847</v>
      </c>
      <c r="D6" s="2">
        <v>120994</v>
      </c>
    </row>
    <row r="7" spans="1:5" x14ac:dyDescent="0.2">
      <c r="A7" s="56">
        <v>2013</v>
      </c>
      <c r="B7" s="60">
        <v>24185</v>
      </c>
      <c r="C7" s="60">
        <v>155420</v>
      </c>
      <c r="D7" s="2">
        <v>126445</v>
      </c>
    </row>
    <row r="8" spans="1:5" x14ac:dyDescent="0.2">
      <c r="A8" s="56">
        <v>2014</v>
      </c>
      <c r="B8" s="60">
        <v>24563</v>
      </c>
      <c r="C8" s="60">
        <v>159369</v>
      </c>
      <c r="D8" s="2">
        <v>131853</v>
      </c>
    </row>
    <row r="9" spans="1:5" x14ac:dyDescent="0.2">
      <c r="A9" s="56">
        <v>2015</v>
      </c>
      <c r="B9" s="60">
        <v>24912</v>
      </c>
      <c r="C9" s="60">
        <v>163429</v>
      </c>
      <c r="D9" s="2">
        <v>136668</v>
      </c>
    </row>
    <row r="10" spans="1:5" x14ac:dyDescent="0.2">
      <c r="A10" s="56">
        <v>2016</v>
      </c>
      <c r="B10" s="60">
        <v>25319</v>
      </c>
      <c r="C10" s="60">
        <v>168230</v>
      </c>
      <c r="D10" s="2">
        <v>141343</v>
      </c>
    </row>
    <row r="11" spans="1:5" x14ac:dyDescent="0.2">
      <c r="A11" s="56">
        <v>2017</v>
      </c>
      <c r="B11" s="60">
        <v>25811</v>
      </c>
      <c r="C11" s="60">
        <v>174394</v>
      </c>
      <c r="D11" s="2">
        <v>144295</v>
      </c>
    </row>
    <row r="12" spans="1:5" x14ac:dyDescent="0.2">
      <c r="A12" s="56">
        <v>2018</v>
      </c>
      <c r="B12" s="60">
        <v>26282</v>
      </c>
      <c r="C12" s="60">
        <v>180652</v>
      </c>
      <c r="D12" s="2">
        <v>147163</v>
      </c>
      <c r="E12" s="60"/>
    </row>
    <row r="13" spans="1:5" x14ac:dyDescent="0.2">
      <c r="A13" s="56">
        <v>2019</v>
      </c>
      <c r="B13" s="60">
        <v>26861</v>
      </c>
      <c r="C13" s="60">
        <v>187604</v>
      </c>
      <c r="D13" s="2">
        <v>150248</v>
      </c>
      <c r="E13" s="60"/>
    </row>
    <row r="14" spans="1:5" x14ac:dyDescent="0.2">
      <c r="A14" s="56">
        <v>2020</v>
      </c>
      <c r="B14" s="60">
        <v>27624</v>
      </c>
      <c r="C14" s="60">
        <v>195931</v>
      </c>
      <c r="D14" s="2">
        <v>154088</v>
      </c>
    </row>
    <row r="15" spans="1:5" x14ac:dyDescent="0.2">
      <c r="A15" s="56">
        <v>2021</v>
      </c>
      <c r="B15" s="60">
        <v>28036</v>
      </c>
      <c r="C15" s="60">
        <v>202884</v>
      </c>
      <c r="D15" s="2">
        <v>158546</v>
      </c>
    </row>
    <row r="16" spans="1:5" x14ac:dyDescent="0.2">
      <c r="A16" s="56">
        <v>2022</v>
      </c>
      <c r="B16" s="60">
        <v>28466</v>
      </c>
      <c r="C16" s="60">
        <v>210472</v>
      </c>
      <c r="D16" s="2">
        <v>161558</v>
      </c>
    </row>
    <row r="17" spans="1:4" x14ac:dyDescent="0.2">
      <c r="A17" s="56">
        <v>2023</v>
      </c>
      <c r="B17" s="60">
        <v>28891</v>
      </c>
      <c r="C17" s="60">
        <v>217856</v>
      </c>
      <c r="D17" s="2">
        <v>164678</v>
      </c>
    </row>
    <row r="18" spans="1:4" x14ac:dyDescent="0.2">
      <c r="A18" s="56">
        <v>2024</v>
      </c>
      <c r="B18" s="60">
        <v>29196</v>
      </c>
      <c r="C18" s="60">
        <v>225943</v>
      </c>
      <c r="D18" s="2">
        <v>169538</v>
      </c>
    </row>
    <row r="19" spans="1:4" x14ac:dyDescent="0.2">
      <c r="A19" s="56">
        <v>2025</v>
      </c>
      <c r="B19" s="60">
        <v>29807</v>
      </c>
      <c r="C19" s="60">
        <v>237030</v>
      </c>
      <c r="D19" s="2">
        <v>176438</v>
      </c>
    </row>
    <row r="20" spans="1:4" x14ac:dyDescent="0.2">
      <c r="A20" s="56">
        <v>2026</v>
      </c>
      <c r="B20" s="60">
        <v>29814</v>
      </c>
      <c r="C20" s="60">
        <v>246577</v>
      </c>
      <c r="D20" s="2">
        <v>182657</v>
      </c>
    </row>
    <row r="21" spans="1:4" x14ac:dyDescent="0.2">
      <c r="A21" s="56">
        <v>2027</v>
      </c>
      <c r="B21" s="60">
        <v>29787</v>
      </c>
      <c r="C21" s="60">
        <v>256966</v>
      </c>
      <c r="D21" s="2">
        <v>190179</v>
      </c>
    </row>
    <row r="22" spans="1:4" x14ac:dyDescent="0.2">
      <c r="A22" s="56">
        <v>2028</v>
      </c>
      <c r="B22" s="60">
        <v>29803</v>
      </c>
      <c r="C22" s="60">
        <v>267014</v>
      </c>
      <c r="D22" s="2">
        <v>197664</v>
      </c>
    </row>
    <row r="23" spans="1:4" x14ac:dyDescent="0.2">
      <c r="A23" s="56">
        <v>2029</v>
      </c>
      <c r="B23" s="60">
        <v>30044</v>
      </c>
      <c r="C23" s="60">
        <v>275478</v>
      </c>
      <c r="D23" s="2">
        <v>207152</v>
      </c>
    </row>
    <row r="24" spans="1:4" x14ac:dyDescent="0.2">
      <c r="A24" s="56">
        <v>2030</v>
      </c>
      <c r="B24" s="60">
        <v>30461</v>
      </c>
      <c r="C24" s="60">
        <v>283265</v>
      </c>
      <c r="D24" s="2">
        <v>217478</v>
      </c>
    </row>
    <row r="25" spans="1:4" x14ac:dyDescent="0.2">
      <c r="A25" s="56">
        <v>2031</v>
      </c>
      <c r="B25" s="60">
        <v>31243</v>
      </c>
      <c r="C25" s="60">
        <v>290601</v>
      </c>
      <c r="D25" s="2">
        <v>228241</v>
      </c>
    </row>
    <row r="26" spans="1:4" x14ac:dyDescent="0.2">
      <c r="A26" s="56">
        <v>2032</v>
      </c>
      <c r="B26" s="60">
        <v>31951</v>
      </c>
      <c r="C26" s="60">
        <v>294872</v>
      </c>
      <c r="D26" s="2">
        <v>244031</v>
      </c>
    </row>
    <row r="27" spans="1:4" x14ac:dyDescent="0.2">
      <c r="A27" s="56">
        <v>2033</v>
      </c>
      <c r="B27" s="60">
        <v>32401</v>
      </c>
      <c r="C27" s="60">
        <v>300280</v>
      </c>
      <c r="D27" s="2">
        <v>257683</v>
      </c>
    </row>
    <row r="28" spans="1:4" x14ac:dyDescent="0.2">
      <c r="A28" s="56">
        <v>2034</v>
      </c>
      <c r="B28" s="60">
        <v>32568</v>
      </c>
      <c r="C28" s="60">
        <v>306240</v>
      </c>
      <c r="D28" s="2">
        <v>271177</v>
      </c>
    </row>
    <row r="29" spans="1:4" x14ac:dyDescent="0.2">
      <c r="A29" s="56">
        <v>2035</v>
      </c>
      <c r="B29" s="60">
        <v>32616</v>
      </c>
      <c r="C29" s="60">
        <v>311987</v>
      </c>
      <c r="D29" s="2">
        <v>284895</v>
      </c>
    </row>
    <row r="30" spans="1:4" x14ac:dyDescent="0.2">
      <c r="A30" s="56">
        <v>2036</v>
      </c>
      <c r="B30" s="60">
        <v>32304</v>
      </c>
      <c r="C30" s="60">
        <v>318413</v>
      </c>
      <c r="D30" s="2">
        <v>298239</v>
      </c>
    </row>
    <row r="31" spans="1:4" x14ac:dyDescent="0.2">
      <c r="A31" s="56">
        <v>2037</v>
      </c>
      <c r="B31" s="60">
        <v>32051</v>
      </c>
      <c r="C31" s="60">
        <v>324775</v>
      </c>
      <c r="D31" s="2">
        <v>313630</v>
      </c>
    </row>
    <row r="32" spans="1:4" x14ac:dyDescent="0.2">
      <c r="A32" s="56">
        <v>2038</v>
      </c>
      <c r="B32" s="60">
        <v>32026</v>
      </c>
      <c r="C32" s="60">
        <v>330620</v>
      </c>
      <c r="D32" s="2">
        <v>327470</v>
      </c>
    </row>
    <row r="33" spans="1:4" x14ac:dyDescent="0.2">
      <c r="A33" s="56">
        <v>2039</v>
      </c>
      <c r="B33" s="60">
        <v>32247</v>
      </c>
      <c r="C33" s="60">
        <v>336306</v>
      </c>
      <c r="D33" s="2">
        <v>339792</v>
      </c>
    </row>
    <row r="34" spans="1:4" x14ac:dyDescent="0.2">
      <c r="A34" s="56">
        <v>2040</v>
      </c>
      <c r="B34" s="60">
        <v>32663</v>
      </c>
      <c r="C34" s="60">
        <v>341214</v>
      </c>
      <c r="D34" s="2">
        <v>351995</v>
      </c>
    </row>
    <row r="35" spans="1:4" x14ac:dyDescent="0.2">
      <c r="A35" s="56">
        <v>2041</v>
      </c>
      <c r="B35" s="60">
        <v>33368</v>
      </c>
      <c r="C35" s="60">
        <v>345979</v>
      </c>
      <c r="D35" s="2">
        <v>363898</v>
      </c>
    </row>
    <row r="36" spans="1:4" x14ac:dyDescent="0.2">
      <c r="A36" s="56">
        <v>2042</v>
      </c>
      <c r="B36" s="60">
        <v>34213</v>
      </c>
      <c r="C36" s="60">
        <v>350210</v>
      </c>
      <c r="D36" s="2">
        <v>375243</v>
      </c>
    </row>
    <row r="37" spans="1:4" x14ac:dyDescent="0.2">
      <c r="A37" s="56">
        <v>2043</v>
      </c>
      <c r="B37" s="60">
        <v>35204</v>
      </c>
      <c r="C37" s="60">
        <v>353835</v>
      </c>
      <c r="D37" s="2">
        <v>386797</v>
      </c>
    </row>
    <row r="38" spans="1:4" x14ac:dyDescent="0.2">
      <c r="A38" s="56">
        <v>2044</v>
      </c>
      <c r="B38" s="60">
        <v>36106</v>
      </c>
      <c r="C38" s="60">
        <v>357037</v>
      </c>
      <c r="D38" s="2">
        <v>398187</v>
      </c>
    </row>
    <row r="39" spans="1:4" x14ac:dyDescent="0.2">
      <c r="A39" s="56">
        <v>2045</v>
      </c>
      <c r="B39" s="60">
        <v>36976</v>
      </c>
      <c r="C39" s="60">
        <v>359510</v>
      </c>
      <c r="D39" s="2">
        <v>409741</v>
      </c>
    </row>
    <row r="40" spans="1:4" x14ac:dyDescent="0.2">
      <c r="A40" s="56">
        <v>2046</v>
      </c>
      <c r="B40" s="60">
        <v>37640</v>
      </c>
      <c r="C40" s="60">
        <v>361828</v>
      </c>
      <c r="D40" s="2">
        <v>422142</v>
      </c>
    </row>
    <row r="41" spans="1:4" x14ac:dyDescent="0.2">
      <c r="A41" s="56">
        <v>2047</v>
      </c>
      <c r="B41" s="60">
        <v>38149</v>
      </c>
      <c r="C41" s="60">
        <v>364102</v>
      </c>
      <c r="D41" s="2">
        <v>434127</v>
      </c>
    </row>
    <row r="42" spans="1:4" x14ac:dyDescent="0.2">
      <c r="A42" s="56">
        <v>2048</v>
      </c>
      <c r="B42" s="60">
        <v>38507</v>
      </c>
      <c r="C42" s="60">
        <v>366453</v>
      </c>
      <c r="D42" s="2">
        <v>445886</v>
      </c>
    </row>
    <row r="43" spans="1:4" x14ac:dyDescent="0.2">
      <c r="A43" s="56">
        <v>2049</v>
      </c>
      <c r="B43" s="60">
        <v>38902</v>
      </c>
      <c r="C43" s="60">
        <v>369610</v>
      </c>
      <c r="D43" s="2">
        <v>456516</v>
      </c>
    </row>
    <row r="44" spans="1:4" x14ac:dyDescent="0.2">
      <c r="A44" s="56">
        <v>2050</v>
      </c>
      <c r="B44" s="60">
        <v>39329</v>
      </c>
      <c r="C44" s="60">
        <v>373673</v>
      </c>
      <c r="D44" s="2">
        <v>465347</v>
      </c>
    </row>
    <row r="45" spans="1:4" x14ac:dyDescent="0.2">
      <c r="A45" s="56">
        <v>2051</v>
      </c>
      <c r="B45" s="60">
        <v>39722</v>
      </c>
      <c r="C45" s="60">
        <v>379149</v>
      </c>
      <c r="D45" s="2">
        <v>473510</v>
      </c>
    </row>
    <row r="46" spans="1:4" x14ac:dyDescent="0.2">
      <c r="A46" s="56">
        <v>2052</v>
      </c>
      <c r="B46" s="60">
        <v>40043</v>
      </c>
      <c r="C46" s="60">
        <v>384467</v>
      </c>
      <c r="D46" s="2">
        <v>480947</v>
      </c>
    </row>
    <row r="47" spans="1:4" x14ac:dyDescent="0.2">
      <c r="A47" s="56">
        <v>2053</v>
      </c>
      <c r="B47" s="60">
        <v>40321</v>
      </c>
      <c r="C47" s="60">
        <v>389043</v>
      </c>
      <c r="D47" s="2">
        <v>488423</v>
      </c>
    </row>
    <row r="48" spans="1:4" x14ac:dyDescent="0.2">
      <c r="A48" s="56">
        <v>2054</v>
      </c>
      <c r="B48" s="60">
        <v>40538</v>
      </c>
      <c r="C48" s="60">
        <v>392679</v>
      </c>
      <c r="D48" s="2">
        <v>496250</v>
      </c>
    </row>
    <row r="49" spans="1:4" x14ac:dyDescent="0.2">
      <c r="A49" s="56">
        <v>2055</v>
      </c>
      <c r="B49" s="60">
        <v>40672</v>
      </c>
      <c r="C49" s="60">
        <v>396259</v>
      </c>
      <c r="D49" s="2">
        <v>502952</v>
      </c>
    </row>
    <row r="50" spans="1:4" x14ac:dyDescent="0.2">
      <c r="A50" s="56">
        <v>2056</v>
      </c>
      <c r="B50" s="60">
        <v>40677</v>
      </c>
      <c r="C50" s="60">
        <v>398541</v>
      </c>
      <c r="D50" s="2">
        <v>511508</v>
      </c>
    </row>
    <row r="51" spans="1:4" x14ac:dyDescent="0.2">
      <c r="A51" s="56">
        <v>2057</v>
      </c>
      <c r="B51" s="60">
        <v>40658</v>
      </c>
      <c r="C51" s="60">
        <v>401367</v>
      </c>
      <c r="D51" s="2">
        <v>518964</v>
      </c>
    </row>
    <row r="52" spans="1:4" x14ac:dyDescent="0.2">
      <c r="A52" s="56">
        <v>2058</v>
      </c>
      <c r="B52" s="60">
        <v>40552</v>
      </c>
      <c r="C52" s="60">
        <v>405730</v>
      </c>
      <c r="D52" s="2">
        <v>524743</v>
      </c>
    </row>
    <row r="53" spans="1:4" x14ac:dyDescent="0.2">
      <c r="A53" s="56">
        <v>2059</v>
      </c>
      <c r="B53" s="60">
        <v>40477</v>
      </c>
      <c r="C53" s="60">
        <v>411230</v>
      </c>
      <c r="D53" s="2">
        <v>530112</v>
      </c>
    </row>
    <row r="54" spans="1:4" x14ac:dyDescent="0.2">
      <c r="A54" s="56">
        <v>2060</v>
      </c>
      <c r="B54" s="60">
        <v>40525</v>
      </c>
      <c r="C54" s="60">
        <v>417701</v>
      </c>
      <c r="D54" s="2">
        <v>534650</v>
      </c>
    </row>
    <row r="55" spans="1:4" x14ac:dyDescent="0.2">
      <c r="A55" s="56">
        <v>2061</v>
      </c>
      <c r="B55" s="60">
        <v>40683</v>
      </c>
      <c r="C55" s="60">
        <v>424961</v>
      </c>
      <c r="D55" s="2">
        <v>540300</v>
      </c>
    </row>
    <row r="56" spans="1:4" x14ac:dyDescent="0.2">
      <c r="A56" s="56">
        <v>2062</v>
      </c>
      <c r="B56" s="60">
        <v>40832</v>
      </c>
      <c r="C56" s="60">
        <v>432258</v>
      </c>
      <c r="D56" s="2">
        <v>545145</v>
      </c>
    </row>
    <row r="57" spans="1:4" x14ac:dyDescent="0.2">
      <c r="A57" s="56">
        <v>2063</v>
      </c>
      <c r="B57" s="60">
        <v>41130</v>
      </c>
      <c r="C57" s="60">
        <v>439672</v>
      </c>
      <c r="D57" s="2">
        <v>548821</v>
      </c>
    </row>
    <row r="58" spans="1:4" x14ac:dyDescent="0.2">
      <c r="A58" s="56">
        <v>2064</v>
      </c>
      <c r="B58" s="60">
        <v>41535</v>
      </c>
      <c r="C58" s="60">
        <v>446517</v>
      </c>
      <c r="D58" s="2">
        <v>552752</v>
      </c>
    </row>
    <row r="59" spans="1:4" x14ac:dyDescent="0.2">
      <c r="A59" s="57">
        <v>2065</v>
      </c>
      <c r="B59" s="61">
        <v>41905</v>
      </c>
      <c r="C59" s="61">
        <v>453269</v>
      </c>
      <c r="D59" s="3">
        <v>557025</v>
      </c>
    </row>
    <row r="60" spans="1:4" x14ac:dyDescent="0.2">
      <c r="A60" s="67" t="s">
        <v>56</v>
      </c>
      <c r="B60" s="60"/>
      <c r="C60" s="60"/>
      <c r="D60" s="2"/>
    </row>
    <row r="61" spans="1:4" x14ac:dyDescent="0.2">
      <c r="A61" t="s">
        <v>66</v>
      </c>
      <c r="B61" s="60"/>
    </row>
    <row r="62" spans="1:4" x14ac:dyDescent="0.2">
      <c r="A62" s="58"/>
    </row>
    <row r="63" spans="1:4" x14ac:dyDescent="0.2">
      <c r="A63" s="73" t="s">
        <v>73</v>
      </c>
    </row>
  </sheetData>
  <mergeCells count="2">
    <mergeCell ref="A2:A3"/>
    <mergeCell ref="B2:D2"/>
  </mergeCells>
  <hyperlinks>
    <hyperlink ref="A63" location="Contents!A1" display="Back to contents page" xr:uid="{C98D9438-2276-44BC-B51E-BC8C57BFF727}"/>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3D8E-9360-4116-9E76-7E0A3A084E1E}">
  <dimension ref="A1:M29"/>
  <sheetViews>
    <sheetView zoomScaleNormal="100" workbookViewId="0"/>
  </sheetViews>
  <sheetFormatPr baseColWidth="10" defaultColWidth="9.1640625" defaultRowHeight="15" x14ac:dyDescent="0.2"/>
  <cols>
    <col min="1" max="1" width="24.1640625" customWidth="1"/>
    <col min="2" max="2" width="22" style="34" customWidth="1"/>
    <col min="3" max="5" width="16.5" customWidth="1"/>
  </cols>
  <sheetData>
    <row r="1" spans="1:13" ht="16" x14ac:dyDescent="0.2">
      <c r="A1" s="1" t="s">
        <v>79</v>
      </c>
      <c r="B1" s="1"/>
    </row>
    <row r="2" spans="1:13" x14ac:dyDescent="0.2">
      <c r="A2" s="89" t="s">
        <v>17</v>
      </c>
      <c r="B2" s="89" t="s">
        <v>18</v>
      </c>
      <c r="C2" s="77" t="s">
        <v>6</v>
      </c>
      <c r="D2" s="77"/>
      <c r="E2" s="77"/>
    </row>
    <row r="3" spans="1:13" ht="16" x14ac:dyDescent="0.2">
      <c r="A3" s="90"/>
      <c r="B3" s="90"/>
      <c r="C3" s="48" t="s">
        <v>20</v>
      </c>
      <c r="D3" s="48" t="s">
        <v>21</v>
      </c>
      <c r="E3" s="48" t="s">
        <v>7</v>
      </c>
    </row>
    <row r="4" spans="1:13" ht="16" x14ac:dyDescent="0.2">
      <c r="A4" s="91" t="s">
        <v>8</v>
      </c>
      <c r="B4" s="41" t="s">
        <v>2</v>
      </c>
      <c r="C4" s="32">
        <v>49779</v>
      </c>
      <c r="D4" s="32">
        <v>83917</v>
      </c>
      <c r="E4" s="32">
        <v>133696</v>
      </c>
      <c r="G4" s="32"/>
      <c r="H4" s="32"/>
      <c r="I4" s="32"/>
      <c r="J4" s="32"/>
      <c r="K4" s="32"/>
      <c r="L4" s="32"/>
      <c r="M4" s="32"/>
    </row>
    <row r="5" spans="1:13" ht="16" x14ac:dyDescent="0.2">
      <c r="A5" s="87"/>
      <c r="B5" s="41" t="s">
        <v>23</v>
      </c>
      <c r="C5" s="32">
        <v>38257</v>
      </c>
      <c r="D5" s="32">
        <v>65808</v>
      </c>
      <c r="E5" s="32">
        <v>104065</v>
      </c>
      <c r="G5" s="32"/>
      <c r="H5" s="32"/>
      <c r="I5" s="32"/>
      <c r="J5" s="32"/>
      <c r="K5" s="32"/>
      <c r="L5" s="32"/>
    </row>
    <row r="6" spans="1:13" ht="16" x14ac:dyDescent="0.2">
      <c r="A6" s="87"/>
      <c r="B6" s="41" t="s">
        <v>24</v>
      </c>
      <c r="C6" s="32">
        <v>30582</v>
      </c>
      <c r="D6" s="32">
        <v>49770</v>
      </c>
      <c r="E6" s="32">
        <v>80352</v>
      </c>
      <c r="G6" s="32"/>
      <c r="H6" s="32"/>
      <c r="I6" s="32"/>
      <c r="J6" s="32"/>
      <c r="K6" s="32"/>
      <c r="L6" s="32"/>
    </row>
    <row r="7" spans="1:13" ht="16" x14ac:dyDescent="0.2">
      <c r="A7" s="87"/>
      <c r="B7" s="41" t="s">
        <v>5</v>
      </c>
      <c r="C7" s="32">
        <v>15557</v>
      </c>
      <c r="D7" s="32">
        <v>25385</v>
      </c>
      <c r="E7" s="32">
        <v>40942</v>
      </c>
      <c r="G7" s="32"/>
      <c r="H7" s="32"/>
      <c r="I7" s="32"/>
      <c r="J7" s="32"/>
      <c r="K7" s="32"/>
      <c r="L7" s="32"/>
    </row>
    <row r="8" spans="1:13" ht="16" x14ac:dyDescent="0.2">
      <c r="A8" s="87"/>
      <c r="B8" s="41" t="s">
        <v>4</v>
      </c>
      <c r="C8" s="32">
        <v>12564</v>
      </c>
      <c r="D8" s="32">
        <v>21741</v>
      </c>
      <c r="E8" s="32">
        <v>34305</v>
      </c>
      <c r="G8" s="32"/>
      <c r="H8" s="32"/>
      <c r="I8" s="32"/>
      <c r="J8" s="32"/>
      <c r="K8" s="32"/>
      <c r="L8" s="32"/>
    </row>
    <row r="9" spans="1:13" ht="16" x14ac:dyDescent="0.2">
      <c r="A9" s="87"/>
      <c r="B9" s="41" t="s">
        <v>25</v>
      </c>
      <c r="C9" s="32">
        <v>4024</v>
      </c>
      <c r="D9" s="32">
        <v>6561</v>
      </c>
      <c r="E9" s="32">
        <v>10585</v>
      </c>
      <c r="G9" s="32"/>
      <c r="H9" s="32"/>
      <c r="I9" s="32"/>
      <c r="J9" s="32"/>
      <c r="K9" s="32"/>
      <c r="L9" s="32"/>
    </row>
    <row r="10" spans="1:13" ht="16" x14ac:dyDescent="0.2">
      <c r="A10" s="87"/>
      <c r="B10" s="41" t="s">
        <v>1</v>
      </c>
      <c r="C10" s="32">
        <v>2093</v>
      </c>
      <c r="D10" s="32">
        <v>3625</v>
      </c>
      <c r="E10" s="32">
        <v>5718</v>
      </c>
      <c r="G10" s="32"/>
      <c r="H10" s="32"/>
      <c r="I10" s="32"/>
      <c r="J10" s="32"/>
      <c r="K10" s="32"/>
      <c r="L10" s="32"/>
    </row>
    <row r="11" spans="1:13" ht="16" x14ac:dyDescent="0.2">
      <c r="A11" s="87"/>
      <c r="B11" s="41" t="s">
        <v>3</v>
      </c>
      <c r="C11" s="32">
        <v>726</v>
      </c>
      <c r="D11" s="32">
        <v>954</v>
      </c>
      <c r="E11" s="32">
        <v>1680</v>
      </c>
      <c r="G11" s="32"/>
      <c r="H11" s="32"/>
      <c r="I11" s="32"/>
      <c r="L11" s="32"/>
    </row>
    <row r="12" spans="1:13" ht="15" customHeight="1" x14ac:dyDescent="0.2">
      <c r="A12" s="87" t="s">
        <v>9</v>
      </c>
      <c r="B12" s="41" t="s">
        <v>80</v>
      </c>
      <c r="C12" s="32">
        <v>101262</v>
      </c>
      <c r="D12" s="32">
        <v>176612</v>
      </c>
      <c r="E12" s="32">
        <v>277873</v>
      </c>
      <c r="G12" s="32"/>
      <c r="H12" s="32"/>
      <c r="I12" s="32"/>
    </row>
    <row r="13" spans="1:13" ht="15.75" customHeight="1" x14ac:dyDescent="0.2">
      <c r="A13" s="87"/>
      <c r="B13" s="41" t="s">
        <v>84</v>
      </c>
      <c r="C13" s="32">
        <v>35137</v>
      </c>
      <c r="D13" s="32">
        <v>55985</v>
      </c>
      <c r="E13" s="32">
        <v>91122</v>
      </c>
      <c r="G13" s="32"/>
      <c r="H13" s="32"/>
      <c r="I13" s="32"/>
    </row>
    <row r="14" spans="1:13" ht="16" x14ac:dyDescent="0.2">
      <c r="A14" s="87"/>
      <c r="B14" s="41" t="s">
        <v>83</v>
      </c>
      <c r="C14" s="32">
        <v>15061</v>
      </c>
      <c r="D14" s="32">
        <v>22094</v>
      </c>
      <c r="E14" s="32">
        <v>37155</v>
      </c>
      <c r="G14" s="32"/>
      <c r="H14" s="32"/>
      <c r="I14" s="32"/>
    </row>
    <row r="15" spans="1:13" ht="16" x14ac:dyDescent="0.2">
      <c r="A15" s="87"/>
      <c r="B15" s="41" t="s">
        <v>82</v>
      </c>
      <c r="C15" s="32">
        <v>1589</v>
      </c>
      <c r="D15" s="32">
        <v>2074</v>
      </c>
      <c r="E15" s="32">
        <v>3663</v>
      </c>
      <c r="G15" s="32"/>
      <c r="H15" s="32"/>
      <c r="I15" s="32"/>
    </row>
    <row r="16" spans="1:13" ht="16" x14ac:dyDescent="0.2">
      <c r="A16" s="87"/>
      <c r="B16" s="41" t="s">
        <v>81</v>
      </c>
      <c r="C16" s="32">
        <v>691</v>
      </c>
      <c r="D16" s="32">
        <v>862</v>
      </c>
      <c r="E16" s="32">
        <v>1553</v>
      </c>
      <c r="G16" s="32"/>
      <c r="H16" s="32"/>
      <c r="I16" s="32"/>
    </row>
    <row r="17" spans="1:9" ht="16" x14ac:dyDescent="0.2">
      <c r="A17" s="87" t="s">
        <v>19</v>
      </c>
      <c r="B17" s="41" t="s">
        <v>85</v>
      </c>
      <c r="C17" s="32">
        <v>31866</v>
      </c>
      <c r="D17" s="32">
        <v>52919</v>
      </c>
      <c r="E17" s="32">
        <v>84785</v>
      </c>
      <c r="G17" s="32"/>
      <c r="H17" s="32"/>
      <c r="I17" s="32"/>
    </row>
    <row r="18" spans="1:9" x14ac:dyDescent="0.2">
      <c r="A18" s="87"/>
      <c r="B18" s="56">
        <v>2</v>
      </c>
      <c r="C18" s="32">
        <v>33852</v>
      </c>
      <c r="D18" s="32">
        <v>55848</v>
      </c>
      <c r="E18" s="32">
        <v>89701</v>
      </c>
      <c r="G18" s="32"/>
      <c r="H18" s="32"/>
      <c r="I18" s="32"/>
    </row>
    <row r="19" spans="1:9" x14ac:dyDescent="0.2">
      <c r="A19" s="87"/>
      <c r="B19" s="56">
        <v>3</v>
      </c>
      <c r="C19" s="32">
        <v>30833</v>
      </c>
      <c r="D19" s="32">
        <v>51328</v>
      </c>
      <c r="E19" s="32">
        <v>82162</v>
      </c>
      <c r="G19" s="32"/>
      <c r="H19" s="32"/>
      <c r="I19" s="32"/>
    </row>
    <row r="20" spans="1:9" x14ac:dyDescent="0.2">
      <c r="A20" s="87"/>
      <c r="B20" s="56">
        <v>4</v>
      </c>
      <c r="C20" s="32">
        <v>27430</v>
      </c>
      <c r="D20" s="32">
        <v>46665</v>
      </c>
      <c r="E20" s="32">
        <v>74095</v>
      </c>
      <c r="G20" s="32"/>
      <c r="H20" s="32"/>
      <c r="I20" s="32"/>
    </row>
    <row r="21" spans="1:9" ht="16" x14ac:dyDescent="0.2">
      <c r="A21" s="88"/>
      <c r="B21" s="62" t="s">
        <v>86</v>
      </c>
      <c r="C21" s="33">
        <v>29749</v>
      </c>
      <c r="D21" s="33">
        <v>50860</v>
      </c>
      <c r="E21" s="33">
        <v>80610</v>
      </c>
      <c r="G21" s="32"/>
      <c r="H21" s="32"/>
      <c r="I21" s="32"/>
    </row>
    <row r="22" spans="1:9" ht="16" x14ac:dyDescent="0.2">
      <c r="A22" s="68" t="s">
        <v>10</v>
      </c>
      <c r="B22" s="41"/>
      <c r="C22" s="32"/>
      <c r="D22" s="32"/>
      <c r="E22" s="32"/>
    </row>
    <row r="23" spans="1:9" x14ac:dyDescent="0.2">
      <c r="A23" s="72" t="s">
        <v>58</v>
      </c>
      <c r="B23" s="72"/>
      <c r="C23" s="72"/>
      <c r="D23" s="72"/>
      <c r="E23" s="72"/>
    </row>
    <row r="24" spans="1:9" x14ac:dyDescent="0.2">
      <c r="A24" s="72" t="s">
        <v>59</v>
      </c>
      <c r="B24" s="72"/>
      <c r="C24" s="72"/>
      <c r="D24" s="72"/>
      <c r="E24" s="72"/>
    </row>
    <row r="25" spans="1:9" x14ac:dyDescent="0.2">
      <c r="A25" s="72" t="s">
        <v>60</v>
      </c>
      <c r="B25" s="72"/>
      <c r="C25" s="72"/>
      <c r="D25" s="72"/>
      <c r="E25" s="72"/>
    </row>
    <row r="26" spans="1:9" x14ac:dyDescent="0.2">
      <c r="A26" s="72" t="s">
        <v>61</v>
      </c>
      <c r="B26" s="72"/>
      <c r="C26" s="72"/>
      <c r="D26" s="72"/>
      <c r="E26" s="72"/>
    </row>
    <row r="27" spans="1:9" x14ac:dyDescent="0.2">
      <c r="A27" t="s">
        <v>78</v>
      </c>
      <c r="B27"/>
    </row>
    <row r="29" spans="1:9" x14ac:dyDescent="0.2">
      <c r="A29" s="73" t="s">
        <v>73</v>
      </c>
    </row>
  </sheetData>
  <mergeCells count="6">
    <mergeCell ref="A17:A21"/>
    <mergeCell ref="A2:A3"/>
    <mergeCell ref="B2:B3"/>
    <mergeCell ref="C2:E2"/>
    <mergeCell ref="A4:A11"/>
    <mergeCell ref="A12:A16"/>
  </mergeCells>
  <hyperlinks>
    <hyperlink ref="A29" location="Contents!A1" display="Back to contents page" xr:uid="{897CAF41-4224-4010-8542-71D4043F174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acfdfa7e-238e-49af-913a-b8791cd4736d">
      <Value>1</Value>
    </AIHW_PPR_ProjectCategoryLookup>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CBCD5A370A1DB47BF624D28629D6BEE" ma:contentTypeVersion="1" ma:contentTypeDescription="AIHW Project Document" ma:contentTypeScope="" ma:versionID="3063d816580368ebd2d901324795a608">
  <xsd:schema xmlns:xsd="http://www.w3.org/2001/XMLSchema" xmlns:xs="http://www.w3.org/2001/XMLSchema" xmlns:p="http://schemas.microsoft.com/office/2006/metadata/properties" xmlns:ns2="acfdfa7e-238e-49af-913a-b8791cd4736d" targetNamespace="http://schemas.microsoft.com/office/2006/metadata/properties" ma:root="true" ma:fieldsID="40cce4b24ccf6edd0b6ee5c7c49e0305" ns2:_="">
    <xsd:import namespace="acfdfa7e-238e-49af-913a-b8791cd4736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dfa7e-238e-49af-913a-b8791cd4736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03ce94-ec67-4e6b-bd2a-a939ad580cf9}" ma:internalName="AIHW_PPR_ProjectCategoryLookup" ma:showField="Title" ma:web="{acfdfa7e-238e-49af-913a-b8791cd47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8B5DD3-6F8F-45CF-BB02-584DC01C81DF}">
  <ds:schemaRefs>
    <ds:schemaRef ds:uri="http://schemas.microsoft.com/sharepoint/v3/contenttype/forms"/>
  </ds:schemaRefs>
</ds:datastoreItem>
</file>

<file path=customXml/itemProps2.xml><?xml version="1.0" encoding="utf-8"?>
<ds:datastoreItem xmlns:ds="http://schemas.openxmlformats.org/officeDocument/2006/customXml" ds:itemID="{E2EF51D9-0F2E-4E90-9FD7-437728CD40BA}">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acfdfa7e-238e-49af-913a-b8791cd4736d"/>
    <ds:schemaRef ds:uri="http://www.w3.org/XML/1998/namespace"/>
  </ds:schemaRefs>
</ds:datastoreItem>
</file>

<file path=customXml/itemProps3.xml><?xml version="1.0" encoding="utf-8"?>
<ds:datastoreItem xmlns:ds="http://schemas.openxmlformats.org/officeDocument/2006/customXml" ds:itemID="{C33683F6-9B49-4229-8F0F-3C60E6229B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dfa7e-238e-49af-913a-b8791cd473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S2.1</vt:lpstr>
      <vt:lpstr>S2.2</vt:lpstr>
      <vt:lpstr>S2.3</vt:lpstr>
      <vt:lpstr>S2.4</vt:lpstr>
      <vt:lpstr>S2.5</vt:lpstr>
      <vt:lpstr>S2.6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Dementia in Australia, Dementia prevalence – data tables</dc:title>
  <dc:creator/>
  <cp:lastModifiedBy/>
  <dcterms:created xsi:type="dcterms:W3CDTF">2025-08-26T05:38:59Z</dcterms:created>
  <dcterms:modified xsi:type="dcterms:W3CDTF">2026-04-15T01:48:40Z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0x010100B4A1F787F0C441AC878A307E051D262E006CBCD5A370A1DB47BF624D28629D6BEE</vt:lpwstr>
  </property>
</Properties>
</file>